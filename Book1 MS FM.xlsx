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11580" activeTab="3"/>
  </bookViews>
  <sheets>
    <sheet name="Financials&gt;" sheetId="2" r:id="rId1"/>
    <sheet name="Historical FS" sheetId="3" r:id="rId2"/>
    <sheet name="Ratio Analysis" sheetId="6" r:id="rId3"/>
    <sheet name="Forecast" sheetId="7" r:id="rId4"/>
    <sheet name="Data&gt;" sheetId="4" r:id="rId5"/>
    <sheet name="Data Sheet" sheetId="1" r:id="rId6"/>
    <sheet name="Cash Flow" sheetId="5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" i="7" l="1"/>
  <c r="N16" i="7"/>
  <c r="N17" i="7"/>
  <c r="N18" i="7"/>
  <c r="N14" i="7"/>
  <c r="N4" i="7" a="1"/>
  <c r="N7" i="7" s="1"/>
  <c r="L2" i="7"/>
  <c r="L8" i="7"/>
  <c r="L9" i="7" s="1"/>
  <c r="L10" i="7" s="1"/>
  <c r="L11" i="7" s="1"/>
  <c r="L12" i="7" s="1"/>
  <c r="L13" i="7" s="1"/>
  <c r="L14" i="7" s="1"/>
  <c r="L7" i="7"/>
  <c r="L6" i="7"/>
  <c r="M5" i="7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L5" i="7"/>
  <c r="M4" i="7"/>
  <c r="I15" i="7"/>
  <c r="I16" i="7"/>
  <c r="I17" i="7"/>
  <c r="I18" i="7"/>
  <c r="I14" i="7"/>
  <c r="I4" i="7" a="1"/>
  <c r="I4" i="7" s="1"/>
  <c r="H4" i="7"/>
  <c r="C5" i="7"/>
  <c r="C6" i="7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4" i="7"/>
  <c r="G2" i="7"/>
  <c r="B2" i="7"/>
  <c r="G5" i="7"/>
  <c r="G6" i="7" s="1"/>
  <c r="G7" i="7" s="1"/>
  <c r="G8" i="7" s="1"/>
  <c r="G9" i="7" s="1"/>
  <c r="G10" i="7" s="1"/>
  <c r="G11" i="7" s="1"/>
  <c r="G12" i="7" s="1"/>
  <c r="G13" i="7" s="1"/>
  <c r="G14" i="7" s="1"/>
  <c r="H5" i="7"/>
  <c r="H6" i="7" s="1"/>
  <c r="H7" i="7" s="1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E14" i="7"/>
  <c r="E15" i="7"/>
  <c r="E16" i="7"/>
  <c r="E17" i="7"/>
  <c r="E18" i="7"/>
  <c r="D15" i="7"/>
  <c r="D16" i="7"/>
  <c r="D17" i="7"/>
  <c r="D18" i="7"/>
  <c r="D14" i="7"/>
  <c r="E6" i="7"/>
  <c r="E7" i="7"/>
  <c r="E8" i="7"/>
  <c r="E9" i="7"/>
  <c r="E10" i="7"/>
  <c r="E11" i="7"/>
  <c r="E12" i="7"/>
  <c r="E13" i="7"/>
  <c r="E5" i="7"/>
  <c r="D4" i="7" a="1"/>
  <c r="D4" i="7" s="1"/>
  <c r="B2" i="1"/>
  <c r="B6" i="7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5" i="7"/>
  <c r="N10" i="7" l="1"/>
  <c r="N6" i="7"/>
  <c r="N13" i="7"/>
  <c r="N9" i="7"/>
  <c r="N5" i="7"/>
  <c r="O5" i="7" s="1"/>
  <c r="N12" i="7"/>
  <c r="N8" i="7"/>
  <c r="N4" i="7"/>
  <c r="N11" i="7"/>
  <c r="O11" i="7" s="1"/>
  <c r="L15" i="7"/>
  <c r="O8" i="7"/>
  <c r="O13" i="7"/>
  <c r="O9" i="7"/>
  <c r="O6" i="7"/>
  <c r="I10" i="7"/>
  <c r="J10" i="7" s="1"/>
  <c r="I6" i="7"/>
  <c r="I11" i="7"/>
  <c r="I7" i="7"/>
  <c r="I13" i="7"/>
  <c r="I9" i="7"/>
  <c r="I5" i="7"/>
  <c r="I12" i="7"/>
  <c r="J12" i="7" s="1"/>
  <c r="I8" i="7"/>
  <c r="G15" i="7"/>
  <c r="J11" i="7"/>
  <c r="J5" i="7"/>
  <c r="J6" i="7"/>
  <c r="D6" i="7"/>
  <c r="D5" i="7"/>
  <c r="D11" i="7"/>
  <c r="D7" i="7"/>
  <c r="D10" i="7"/>
  <c r="D13" i="7"/>
  <c r="D9" i="7"/>
  <c r="D12" i="7"/>
  <c r="D8" i="7"/>
  <c r="O12" i="6"/>
  <c r="O13" i="6"/>
  <c r="O14" i="6"/>
  <c r="O15" i="6"/>
  <c r="O17" i="6"/>
  <c r="O18" i="6"/>
  <c r="O19" i="6"/>
  <c r="O21" i="6"/>
  <c r="O22" i="6"/>
  <c r="O23" i="6"/>
  <c r="O24" i="6"/>
  <c r="O25" i="6"/>
  <c r="O27" i="6"/>
  <c r="O28" i="6"/>
  <c r="O29" i="6"/>
  <c r="O30" i="6"/>
  <c r="O31" i="6"/>
  <c r="O34" i="6"/>
  <c r="O35" i="6"/>
  <c r="O36" i="6"/>
  <c r="O37" i="6"/>
  <c r="O39" i="6"/>
  <c r="O40" i="6"/>
  <c r="O41" i="6"/>
  <c r="O11" i="6"/>
  <c r="O6" i="6"/>
  <c r="O7" i="6"/>
  <c r="O8" i="6"/>
  <c r="O9" i="6"/>
  <c r="O5" i="6"/>
  <c r="N12" i="6"/>
  <c r="N13" i="6"/>
  <c r="N14" i="6"/>
  <c r="N15" i="6"/>
  <c r="N17" i="6"/>
  <c r="N18" i="6"/>
  <c r="N19" i="6"/>
  <c r="N21" i="6"/>
  <c r="N22" i="6"/>
  <c r="N23" i="6"/>
  <c r="N24" i="6"/>
  <c r="N25" i="6"/>
  <c r="N27" i="6"/>
  <c r="N28" i="6"/>
  <c r="N29" i="6"/>
  <c r="N30" i="6"/>
  <c r="N31" i="6"/>
  <c r="N34" i="6"/>
  <c r="N35" i="6"/>
  <c r="N36" i="6"/>
  <c r="N37" i="6"/>
  <c r="N39" i="6"/>
  <c r="N40" i="6"/>
  <c r="N41" i="6"/>
  <c r="N11" i="6"/>
  <c r="N6" i="6"/>
  <c r="N7" i="6"/>
  <c r="N8" i="6"/>
  <c r="N9" i="6"/>
  <c r="N5" i="6"/>
  <c r="D39" i="6"/>
  <c r="E39" i="6"/>
  <c r="F39" i="6"/>
  <c r="G39" i="6"/>
  <c r="H39" i="6"/>
  <c r="I39" i="6"/>
  <c r="J39" i="6"/>
  <c r="K39" i="6"/>
  <c r="L39" i="6"/>
  <c r="D40" i="6"/>
  <c r="E40" i="6"/>
  <c r="F40" i="6"/>
  <c r="G40" i="6"/>
  <c r="H40" i="6"/>
  <c r="I40" i="6"/>
  <c r="J40" i="6"/>
  <c r="K40" i="6"/>
  <c r="L40" i="6"/>
  <c r="D41" i="6"/>
  <c r="E41" i="6"/>
  <c r="F41" i="6"/>
  <c r="G41" i="6"/>
  <c r="H41" i="6"/>
  <c r="I41" i="6"/>
  <c r="J41" i="6"/>
  <c r="K41" i="6"/>
  <c r="L41" i="6"/>
  <c r="C41" i="6"/>
  <c r="C40" i="6"/>
  <c r="C39" i="6"/>
  <c r="H34" i="6"/>
  <c r="F35" i="6"/>
  <c r="G35" i="6"/>
  <c r="E36" i="6"/>
  <c r="F36" i="6"/>
  <c r="D27" i="6"/>
  <c r="D34" i="6" s="1"/>
  <c r="E27" i="6"/>
  <c r="E34" i="6" s="1"/>
  <c r="F27" i="6"/>
  <c r="F34" i="6" s="1"/>
  <c r="G27" i="6"/>
  <c r="G34" i="6" s="1"/>
  <c r="H27" i="6"/>
  <c r="I27" i="6"/>
  <c r="I34" i="6" s="1"/>
  <c r="J27" i="6"/>
  <c r="J34" i="6" s="1"/>
  <c r="K27" i="6"/>
  <c r="K34" i="6" s="1"/>
  <c r="L27" i="6"/>
  <c r="L34" i="6" s="1"/>
  <c r="D28" i="6"/>
  <c r="D35" i="6" s="1"/>
  <c r="E28" i="6"/>
  <c r="E35" i="6" s="1"/>
  <c r="F28" i="6"/>
  <c r="G28" i="6"/>
  <c r="H28" i="6"/>
  <c r="H35" i="6" s="1"/>
  <c r="I28" i="6"/>
  <c r="I35" i="6" s="1"/>
  <c r="J28" i="6"/>
  <c r="J35" i="6" s="1"/>
  <c r="K28" i="6"/>
  <c r="K35" i="6" s="1"/>
  <c r="L28" i="6"/>
  <c r="L35" i="6" s="1"/>
  <c r="D29" i="6"/>
  <c r="D36" i="6" s="1"/>
  <c r="E29" i="6"/>
  <c r="F29" i="6"/>
  <c r="G29" i="6"/>
  <c r="G36" i="6" s="1"/>
  <c r="H29" i="6"/>
  <c r="H36" i="6" s="1"/>
  <c r="I29" i="6"/>
  <c r="I36" i="6" s="1"/>
  <c r="J29" i="6"/>
  <c r="J36" i="6" s="1"/>
  <c r="K29" i="6"/>
  <c r="K36" i="6" s="1"/>
  <c r="L29" i="6"/>
  <c r="L36" i="6" s="1"/>
  <c r="D30" i="6"/>
  <c r="E30" i="6"/>
  <c r="F30" i="6"/>
  <c r="G30" i="6"/>
  <c r="H30" i="6"/>
  <c r="I30" i="6"/>
  <c r="J30" i="6"/>
  <c r="K30" i="6"/>
  <c r="L30" i="6"/>
  <c r="D31" i="6"/>
  <c r="E31" i="6"/>
  <c r="F31" i="6"/>
  <c r="G31" i="6"/>
  <c r="H31" i="6"/>
  <c r="I31" i="6"/>
  <c r="J31" i="6"/>
  <c r="K31" i="6"/>
  <c r="L31" i="6"/>
  <c r="C31" i="6"/>
  <c r="C30" i="6"/>
  <c r="C7" i="3"/>
  <c r="C27" i="6" s="1"/>
  <c r="C34" i="6" s="1"/>
  <c r="C29" i="6"/>
  <c r="C36" i="6" s="1"/>
  <c r="D21" i="6"/>
  <c r="E21" i="6"/>
  <c r="F21" i="6"/>
  <c r="G21" i="6"/>
  <c r="H21" i="6"/>
  <c r="I21" i="6"/>
  <c r="J21" i="6"/>
  <c r="K21" i="6"/>
  <c r="L21" i="6"/>
  <c r="D22" i="6"/>
  <c r="E22" i="6"/>
  <c r="F22" i="6"/>
  <c r="G22" i="6"/>
  <c r="H22" i="6"/>
  <c r="I22" i="6"/>
  <c r="J22" i="6"/>
  <c r="K22" i="6"/>
  <c r="L22" i="6"/>
  <c r="D23" i="6"/>
  <c r="D24" i="6" s="1"/>
  <c r="E23" i="6"/>
  <c r="F23" i="6"/>
  <c r="F24" i="6" s="1"/>
  <c r="G23" i="6"/>
  <c r="H23" i="6"/>
  <c r="I23" i="6"/>
  <c r="J23" i="6"/>
  <c r="J24" i="6" s="1"/>
  <c r="K23" i="6"/>
  <c r="L23" i="6"/>
  <c r="L24" i="6" s="1"/>
  <c r="H24" i="6"/>
  <c r="I24" i="6"/>
  <c r="D25" i="6"/>
  <c r="E25" i="6"/>
  <c r="F25" i="6"/>
  <c r="G25" i="6"/>
  <c r="H25" i="6"/>
  <c r="I25" i="6"/>
  <c r="J25" i="6"/>
  <c r="K25" i="6"/>
  <c r="L25" i="6"/>
  <c r="L9" i="6"/>
  <c r="K9" i="6"/>
  <c r="J9" i="6"/>
  <c r="I9" i="6"/>
  <c r="H9" i="6"/>
  <c r="G9" i="6"/>
  <c r="F9" i="6"/>
  <c r="E9" i="6"/>
  <c r="L8" i="6"/>
  <c r="K8" i="6"/>
  <c r="J8" i="6"/>
  <c r="I8" i="6"/>
  <c r="H8" i="6"/>
  <c r="G8" i="6"/>
  <c r="F8" i="6"/>
  <c r="E8" i="6"/>
  <c r="L7" i="6"/>
  <c r="K7" i="6"/>
  <c r="J7" i="6"/>
  <c r="I7" i="6"/>
  <c r="H7" i="6"/>
  <c r="G7" i="6"/>
  <c r="F7" i="6"/>
  <c r="E7" i="6"/>
  <c r="L6" i="6"/>
  <c r="K6" i="6"/>
  <c r="J6" i="6"/>
  <c r="I6" i="6"/>
  <c r="H6" i="6"/>
  <c r="G6" i="6"/>
  <c r="F6" i="6"/>
  <c r="E6" i="6"/>
  <c r="L5" i="6"/>
  <c r="K5" i="6"/>
  <c r="J5" i="6"/>
  <c r="I5" i="6"/>
  <c r="H5" i="6"/>
  <c r="G5" i="6"/>
  <c r="F5" i="6"/>
  <c r="E5" i="6"/>
  <c r="C42" i="3"/>
  <c r="D9" i="6"/>
  <c r="D17" i="6"/>
  <c r="E17" i="6"/>
  <c r="F17" i="6"/>
  <c r="G17" i="6"/>
  <c r="H17" i="6"/>
  <c r="I17" i="6"/>
  <c r="J17" i="6"/>
  <c r="K17" i="6"/>
  <c r="L17" i="6"/>
  <c r="D18" i="6"/>
  <c r="E18" i="6"/>
  <c r="F18" i="6"/>
  <c r="G18" i="6"/>
  <c r="H18" i="6"/>
  <c r="I18" i="6"/>
  <c r="J18" i="6"/>
  <c r="K18" i="6"/>
  <c r="L18" i="6"/>
  <c r="L19" i="6"/>
  <c r="D11" i="6"/>
  <c r="E11" i="6"/>
  <c r="F11" i="6"/>
  <c r="G11" i="6"/>
  <c r="H11" i="6"/>
  <c r="I11" i="6"/>
  <c r="J11" i="6"/>
  <c r="K11" i="6"/>
  <c r="L11" i="6"/>
  <c r="D12" i="6"/>
  <c r="E12" i="6"/>
  <c r="F12" i="6"/>
  <c r="G12" i="6"/>
  <c r="H12" i="6"/>
  <c r="I12" i="6"/>
  <c r="J12" i="6"/>
  <c r="K12" i="6"/>
  <c r="L12" i="6"/>
  <c r="D13" i="6"/>
  <c r="D19" i="6" s="1"/>
  <c r="E13" i="6"/>
  <c r="E19" i="6" s="1"/>
  <c r="F13" i="6"/>
  <c r="F19" i="6" s="1"/>
  <c r="G13" i="6"/>
  <c r="G19" i="6" s="1"/>
  <c r="H13" i="6"/>
  <c r="H19" i="6" s="1"/>
  <c r="I13" i="6"/>
  <c r="I19" i="6" s="1"/>
  <c r="J13" i="6"/>
  <c r="J19" i="6" s="1"/>
  <c r="K13" i="6"/>
  <c r="K19" i="6" s="1"/>
  <c r="L13" i="6"/>
  <c r="D14" i="6"/>
  <c r="E14" i="6"/>
  <c r="F14" i="6"/>
  <c r="G14" i="6"/>
  <c r="H14" i="6"/>
  <c r="I14" i="6"/>
  <c r="J14" i="6"/>
  <c r="K14" i="6"/>
  <c r="L14" i="6"/>
  <c r="D15" i="6"/>
  <c r="E15" i="6"/>
  <c r="F15" i="6"/>
  <c r="G15" i="6"/>
  <c r="H15" i="6"/>
  <c r="I15" i="6"/>
  <c r="J15" i="6"/>
  <c r="K15" i="6"/>
  <c r="L15" i="6"/>
  <c r="B2" i="6"/>
  <c r="L3" i="6"/>
  <c r="K3" i="6"/>
  <c r="J3" i="6"/>
  <c r="I3" i="6"/>
  <c r="H3" i="6"/>
  <c r="G3" i="6"/>
  <c r="F3" i="6"/>
  <c r="E3" i="6"/>
  <c r="D3" i="6"/>
  <c r="C3" i="6"/>
  <c r="O14" i="7" l="1"/>
  <c r="O12" i="7"/>
  <c r="O10" i="7"/>
  <c r="O7" i="7"/>
  <c r="L16" i="7"/>
  <c r="O15" i="7"/>
  <c r="J7" i="7"/>
  <c r="J13" i="7"/>
  <c r="J8" i="7"/>
  <c r="J9" i="7"/>
  <c r="G16" i="7"/>
  <c r="J15" i="7"/>
  <c r="J14" i="7"/>
  <c r="E24" i="6"/>
  <c r="J37" i="6"/>
  <c r="F37" i="6"/>
  <c r="L37" i="6"/>
  <c r="H37" i="6"/>
  <c r="I37" i="6"/>
  <c r="E37" i="6"/>
  <c r="D37" i="6"/>
  <c r="K24" i="6"/>
  <c r="G24" i="6"/>
  <c r="K37" i="6"/>
  <c r="G37" i="6"/>
  <c r="C28" i="6"/>
  <c r="C35" i="6" s="1"/>
  <c r="C37" i="6" s="1"/>
  <c r="D105" i="3"/>
  <c r="E105" i="3"/>
  <c r="F105" i="3"/>
  <c r="G105" i="3"/>
  <c r="H105" i="3"/>
  <c r="I105" i="3"/>
  <c r="J105" i="3"/>
  <c r="K105" i="3"/>
  <c r="L105" i="3"/>
  <c r="C105" i="3"/>
  <c r="D103" i="3"/>
  <c r="E103" i="3"/>
  <c r="F103" i="3"/>
  <c r="G103" i="3"/>
  <c r="H103" i="3"/>
  <c r="I103" i="3"/>
  <c r="J103" i="3"/>
  <c r="K103" i="3"/>
  <c r="L103" i="3"/>
  <c r="C103" i="3"/>
  <c r="D97" i="3"/>
  <c r="E97" i="3"/>
  <c r="F97" i="3"/>
  <c r="G97" i="3"/>
  <c r="H97" i="3"/>
  <c r="I97" i="3"/>
  <c r="J97" i="3"/>
  <c r="K97" i="3"/>
  <c r="L97" i="3"/>
  <c r="D98" i="3"/>
  <c r="E98" i="3"/>
  <c r="F98" i="3"/>
  <c r="G98" i="3"/>
  <c r="H98" i="3"/>
  <c r="I98" i="3"/>
  <c r="J98" i="3"/>
  <c r="K98" i="3"/>
  <c r="L98" i="3"/>
  <c r="D99" i="3"/>
  <c r="E99" i="3"/>
  <c r="F99" i="3"/>
  <c r="G99" i="3"/>
  <c r="H99" i="3"/>
  <c r="I99" i="3"/>
  <c r="J99" i="3"/>
  <c r="K99" i="3"/>
  <c r="L99" i="3"/>
  <c r="D100" i="3"/>
  <c r="E100" i="3"/>
  <c r="F100" i="3"/>
  <c r="G100" i="3"/>
  <c r="H100" i="3"/>
  <c r="I100" i="3"/>
  <c r="J100" i="3"/>
  <c r="K100" i="3"/>
  <c r="L100" i="3"/>
  <c r="D101" i="3"/>
  <c r="E101" i="3"/>
  <c r="F101" i="3"/>
  <c r="G101" i="3"/>
  <c r="H101" i="3"/>
  <c r="I101" i="3"/>
  <c r="J101" i="3"/>
  <c r="K101" i="3"/>
  <c r="L101" i="3"/>
  <c r="D102" i="3"/>
  <c r="E102" i="3"/>
  <c r="F102" i="3"/>
  <c r="G102" i="3"/>
  <c r="H102" i="3"/>
  <c r="I102" i="3"/>
  <c r="J102" i="3"/>
  <c r="K102" i="3"/>
  <c r="L102" i="3"/>
  <c r="C98" i="3"/>
  <c r="C99" i="3"/>
  <c r="C100" i="3"/>
  <c r="C101" i="3"/>
  <c r="C102" i="3"/>
  <c r="C97" i="3"/>
  <c r="D94" i="3"/>
  <c r="E94" i="3"/>
  <c r="F94" i="3"/>
  <c r="G94" i="3"/>
  <c r="H94" i="3"/>
  <c r="I94" i="3"/>
  <c r="J94" i="3"/>
  <c r="K94" i="3"/>
  <c r="L94" i="3"/>
  <c r="C94" i="3"/>
  <c r="D85" i="3"/>
  <c r="E85" i="3"/>
  <c r="F85" i="3"/>
  <c r="G85" i="3"/>
  <c r="H85" i="3"/>
  <c r="I85" i="3"/>
  <c r="J85" i="3"/>
  <c r="K85" i="3"/>
  <c r="L85" i="3"/>
  <c r="D86" i="3"/>
  <c r="E86" i="3"/>
  <c r="F86" i="3"/>
  <c r="G86" i="3"/>
  <c r="H86" i="3"/>
  <c r="I86" i="3"/>
  <c r="J86" i="3"/>
  <c r="K86" i="3"/>
  <c r="L86" i="3"/>
  <c r="D87" i="3"/>
  <c r="E87" i="3"/>
  <c r="F87" i="3"/>
  <c r="G87" i="3"/>
  <c r="H87" i="3"/>
  <c r="I87" i="3"/>
  <c r="J87" i="3"/>
  <c r="K87" i="3"/>
  <c r="L87" i="3"/>
  <c r="D88" i="3"/>
  <c r="E88" i="3"/>
  <c r="F88" i="3"/>
  <c r="G88" i="3"/>
  <c r="H88" i="3"/>
  <c r="I88" i="3"/>
  <c r="J88" i="3"/>
  <c r="K88" i="3"/>
  <c r="L88" i="3"/>
  <c r="D89" i="3"/>
  <c r="E89" i="3"/>
  <c r="F89" i="3"/>
  <c r="G89" i="3"/>
  <c r="H89" i="3"/>
  <c r="I89" i="3"/>
  <c r="J89" i="3"/>
  <c r="K89" i="3"/>
  <c r="L89" i="3"/>
  <c r="D90" i="3"/>
  <c r="E90" i="3"/>
  <c r="F90" i="3"/>
  <c r="G90" i="3"/>
  <c r="H90" i="3"/>
  <c r="I90" i="3"/>
  <c r="J90" i="3"/>
  <c r="K90" i="3"/>
  <c r="L90" i="3"/>
  <c r="D91" i="3"/>
  <c r="E91" i="3"/>
  <c r="F91" i="3"/>
  <c r="G91" i="3"/>
  <c r="H91" i="3"/>
  <c r="I91" i="3"/>
  <c r="J91" i="3"/>
  <c r="K91" i="3"/>
  <c r="L91" i="3"/>
  <c r="D92" i="3"/>
  <c r="E92" i="3"/>
  <c r="F92" i="3"/>
  <c r="G92" i="3"/>
  <c r="H92" i="3"/>
  <c r="I92" i="3"/>
  <c r="J92" i="3"/>
  <c r="K92" i="3"/>
  <c r="L92" i="3"/>
  <c r="D93" i="3"/>
  <c r="E93" i="3"/>
  <c r="F93" i="3"/>
  <c r="G93" i="3"/>
  <c r="H93" i="3"/>
  <c r="I93" i="3"/>
  <c r="J93" i="3"/>
  <c r="K93" i="3"/>
  <c r="L93" i="3"/>
  <c r="C86" i="3"/>
  <c r="C87" i="3"/>
  <c r="C88" i="3"/>
  <c r="C89" i="3"/>
  <c r="C90" i="3"/>
  <c r="C91" i="3"/>
  <c r="C92" i="3"/>
  <c r="C93" i="3"/>
  <c r="C85" i="3"/>
  <c r="D82" i="3"/>
  <c r="E82" i="3"/>
  <c r="F82" i="3"/>
  <c r="G82" i="3"/>
  <c r="H82" i="3"/>
  <c r="I82" i="3"/>
  <c r="J82" i="3"/>
  <c r="K82" i="3"/>
  <c r="L82" i="3"/>
  <c r="C82" i="3"/>
  <c r="D74" i="3"/>
  <c r="E74" i="3"/>
  <c r="F74" i="3"/>
  <c r="G74" i="3"/>
  <c r="H74" i="3"/>
  <c r="I74" i="3"/>
  <c r="J74" i="3"/>
  <c r="K74" i="3"/>
  <c r="L74" i="3"/>
  <c r="D75" i="3"/>
  <c r="E75" i="3"/>
  <c r="F75" i="3"/>
  <c r="G75" i="3"/>
  <c r="H75" i="3"/>
  <c r="I75" i="3"/>
  <c r="J75" i="3"/>
  <c r="K75" i="3"/>
  <c r="L75" i="3"/>
  <c r="D76" i="3"/>
  <c r="E76" i="3"/>
  <c r="F76" i="3"/>
  <c r="G76" i="3"/>
  <c r="H76" i="3"/>
  <c r="I76" i="3"/>
  <c r="J76" i="3"/>
  <c r="K76" i="3"/>
  <c r="L76" i="3"/>
  <c r="D77" i="3"/>
  <c r="E77" i="3"/>
  <c r="F77" i="3"/>
  <c r="G77" i="3"/>
  <c r="H77" i="3"/>
  <c r="I77" i="3"/>
  <c r="J77" i="3"/>
  <c r="K77" i="3"/>
  <c r="L77" i="3"/>
  <c r="D78" i="3"/>
  <c r="E78" i="3"/>
  <c r="F78" i="3"/>
  <c r="G78" i="3"/>
  <c r="H78" i="3"/>
  <c r="I78" i="3"/>
  <c r="J78" i="3"/>
  <c r="K78" i="3"/>
  <c r="L78" i="3"/>
  <c r="D79" i="3"/>
  <c r="E79" i="3"/>
  <c r="F79" i="3"/>
  <c r="G79" i="3"/>
  <c r="H79" i="3"/>
  <c r="I79" i="3"/>
  <c r="J79" i="3"/>
  <c r="K79" i="3"/>
  <c r="L79" i="3"/>
  <c r="D80" i="3"/>
  <c r="E80" i="3"/>
  <c r="F80" i="3"/>
  <c r="G80" i="3"/>
  <c r="H80" i="3"/>
  <c r="I80" i="3"/>
  <c r="J80" i="3"/>
  <c r="K80" i="3"/>
  <c r="L80" i="3"/>
  <c r="D81" i="3"/>
  <c r="E81" i="3"/>
  <c r="F81" i="3"/>
  <c r="G81" i="3"/>
  <c r="H81" i="3"/>
  <c r="I81" i="3"/>
  <c r="J81" i="3"/>
  <c r="K81" i="3"/>
  <c r="L81" i="3"/>
  <c r="C75" i="3"/>
  <c r="C76" i="3"/>
  <c r="C77" i="3"/>
  <c r="C78" i="3"/>
  <c r="C79" i="3"/>
  <c r="C80" i="3"/>
  <c r="C81" i="3"/>
  <c r="C74" i="3"/>
  <c r="D69" i="3"/>
  <c r="E69" i="3"/>
  <c r="F69" i="3"/>
  <c r="G69" i="3"/>
  <c r="H69" i="3"/>
  <c r="I69" i="3"/>
  <c r="J69" i="3"/>
  <c r="K69" i="3"/>
  <c r="L69" i="3"/>
  <c r="C69" i="3"/>
  <c r="D60" i="3"/>
  <c r="E60" i="3"/>
  <c r="F60" i="3"/>
  <c r="G60" i="3"/>
  <c r="H60" i="3"/>
  <c r="I60" i="3"/>
  <c r="J60" i="3"/>
  <c r="K60" i="3"/>
  <c r="L60" i="3"/>
  <c r="C60" i="3"/>
  <c r="D59" i="3"/>
  <c r="E59" i="3"/>
  <c r="F59" i="3"/>
  <c r="G59" i="3"/>
  <c r="H59" i="3"/>
  <c r="I59" i="3"/>
  <c r="J59" i="3"/>
  <c r="K59" i="3"/>
  <c r="L59" i="3"/>
  <c r="C59" i="3"/>
  <c r="D67" i="3"/>
  <c r="E67" i="3"/>
  <c r="F67" i="3"/>
  <c r="G67" i="3"/>
  <c r="H67" i="3"/>
  <c r="I67" i="3"/>
  <c r="J67" i="3"/>
  <c r="K67" i="3"/>
  <c r="L67" i="3"/>
  <c r="C67" i="3"/>
  <c r="D65" i="3"/>
  <c r="E65" i="3"/>
  <c r="F65" i="3"/>
  <c r="G65" i="3"/>
  <c r="H65" i="3"/>
  <c r="I65" i="3"/>
  <c r="J65" i="3"/>
  <c r="K65" i="3"/>
  <c r="L65" i="3"/>
  <c r="C65" i="3"/>
  <c r="D64" i="3"/>
  <c r="E64" i="3"/>
  <c r="F64" i="3"/>
  <c r="G64" i="3"/>
  <c r="H64" i="3"/>
  <c r="I64" i="3"/>
  <c r="J64" i="3"/>
  <c r="K64" i="3"/>
  <c r="L64" i="3"/>
  <c r="D63" i="3"/>
  <c r="E63" i="3"/>
  <c r="F63" i="3"/>
  <c r="G63" i="3"/>
  <c r="H63" i="3"/>
  <c r="I63" i="3"/>
  <c r="J63" i="3"/>
  <c r="K63" i="3"/>
  <c r="L63" i="3"/>
  <c r="C63" i="3"/>
  <c r="C64" i="3"/>
  <c r="D62" i="3"/>
  <c r="E62" i="3"/>
  <c r="F62" i="3"/>
  <c r="G62" i="3"/>
  <c r="H62" i="3"/>
  <c r="I62" i="3"/>
  <c r="J62" i="3"/>
  <c r="K62" i="3"/>
  <c r="L62" i="3"/>
  <c r="C62" i="3"/>
  <c r="D58" i="3"/>
  <c r="E58" i="3"/>
  <c r="F58" i="3"/>
  <c r="G58" i="3"/>
  <c r="H58" i="3"/>
  <c r="I58" i="3"/>
  <c r="J58" i="3"/>
  <c r="K58" i="3"/>
  <c r="L58" i="3"/>
  <c r="D57" i="3"/>
  <c r="E57" i="3"/>
  <c r="F57" i="3"/>
  <c r="G57" i="3"/>
  <c r="H57" i="3"/>
  <c r="I57" i="3"/>
  <c r="J57" i="3"/>
  <c r="K57" i="3"/>
  <c r="L57" i="3"/>
  <c r="C57" i="3"/>
  <c r="C58" i="3"/>
  <c r="D56" i="3"/>
  <c r="E56" i="3"/>
  <c r="F56" i="3"/>
  <c r="G56" i="3"/>
  <c r="H56" i="3"/>
  <c r="I56" i="3"/>
  <c r="J56" i="3"/>
  <c r="K56" i="3"/>
  <c r="L56" i="3"/>
  <c r="C56" i="3"/>
  <c r="F54" i="3"/>
  <c r="G54" i="3"/>
  <c r="H54" i="3"/>
  <c r="I54" i="3"/>
  <c r="J54" i="3"/>
  <c r="K54" i="3"/>
  <c r="L54" i="3"/>
  <c r="F53" i="3"/>
  <c r="G53" i="3"/>
  <c r="H53" i="3"/>
  <c r="I53" i="3"/>
  <c r="J53" i="3"/>
  <c r="K53" i="3"/>
  <c r="L53" i="3"/>
  <c r="F52" i="3"/>
  <c r="G52" i="3"/>
  <c r="H52" i="3"/>
  <c r="I52" i="3"/>
  <c r="J52" i="3"/>
  <c r="K52" i="3"/>
  <c r="L52" i="3"/>
  <c r="F51" i="3"/>
  <c r="G51" i="3"/>
  <c r="H51" i="3"/>
  <c r="I51" i="3"/>
  <c r="J51" i="3"/>
  <c r="K51" i="3"/>
  <c r="L51" i="3"/>
  <c r="E51" i="3"/>
  <c r="E52" i="3"/>
  <c r="E53" i="3"/>
  <c r="E54" i="3"/>
  <c r="D51" i="3"/>
  <c r="D52" i="3"/>
  <c r="D53" i="3"/>
  <c r="D54" i="3"/>
  <c r="C51" i="3"/>
  <c r="C52" i="3"/>
  <c r="C53" i="3"/>
  <c r="C54" i="3"/>
  <c r="D50" i="3"/>
  <c r="E50" i="3"/>
  <c r="F50" i="3"/>
  <c r="G50" i="3"/>
  <c r="H50" i="3"/>
  <c r="I50" i="3"/>
  <c r="J50" i="3"/>
  <c r="K50" i="3"/>
  <c r="L50" i="3"/>
  <c r="C50" i="3"/>
  <c r="L17" i="7" l="1"/>
  <c r="O16" i="7"/>
  <c r="J16" i="7"/>
  <c r="G17" i="7"/>
  <c r="D37" i="3"/>
  <c r="D42" i="3" s="1"/>
  <c r="E37" i="3"/>
  <c r="E42" i="3" s="1"/>
  <c r="F37" i="3"/>
  <c r="F42" i="3" s="1"/>
  <c r="G37" i="3"/>
  <c r="G42" i="3" s="1"/>
  <c r="H37" i="3"/>
  <c r="H42" i="3" s="1"/>
  <c r="I37" i="3"/>
  <c r="I42" i="3" s="1"/>
  <c r="J37" i="3"/>
  <c r="J42" i="3" s="1"/>
  <c r="K37" i="3"/>
  <c r="K42" i="3" s="1"/>
  <c r="L37" i="3"/>
  <c r="L42" i="3" s="1"/>
  <c r="M37" i="3"/>
  <c r="M42" i="3" s="1"/>
  <c r="C37" i="3"/>
  <c r="M25" i="3"/>
  <c r="M31" i="3"/>
  <c r="D31" i="3"/>
  <c r="E31" i="3"/>
  <c r="F31" i="3"/>
  <c r="G31" i="3"/>
  <c r="H31" i="3"/>
  <c r="I31" i="3"/>
  <c r="J31" i="3"/>
  <c r="K31" i="3"/>
  <c r="L31" i="3"/>
  <c r="C31" i="3"/>
  <c r="D25" i="3"/>
  <c r="E25" i="3"/>
  <c r="F25" i="3"/>
  <c r="G25" i="3"/>
  <c r="H25" i="3"/>
  <c r="I25" i="3"/>
  <c r="J25" i="3"/>
  <c r="K25" i="3"/>
  <c r="L25" i="3"/>
  <c r="C25" i="3"/>
  <c r="M22" i="3"/>
  <c r="D22" i="3"/>
  <c r="E22" i="3"/>
  <c r="F22" i="3"/>
  <c r="G22" i="3"/>
  <c r="H22" i="3"/>
  <c r="I22" i="3"/>
  <c r="J22" i="3"/>
  <c r="K22" i="3"/>
  <c r="L22" i="3"/>
  <c r="C22" i="3"/>
  <c r="L18" i="7" l="1"/>
  <c r="O18" i="7" s="1"/>
  <c r="O17" i="7"/>
  <c r="J17" i="7"/>
  <c r="G18" i="7"/>
  <c r="D16" i="3"/>
  <c r="E16" i="3"/>
  <c r="F16" i="3"/>
  <c r="G16" i="3"/>
  <c r="H16" i="3"/>
  <c r="I16" i="3"/>
  <c r="J16" i="3"/>
  <c r="K16" i="3"/>
  <c r="L16" i="3"/>
  <c r="M16" i="3"/>
  <c r="C16" i="3"/>
  <c r="M7" i="3"/>
  <c r="M23" i="3" s="1"/>
  <c r="D10" i="3"/>
  <c r="E10" i="3"/>
  <c r="F10" i="3"/>
  <c r="G10" i="3"/>
  <c r="H10" i="3"/>
  <c r="I10" i="3"/>
  <c r="J10" i="3"/>
  <c r="K10" i="3"/>
  <c r="L10" i="3"/>
  <c r="M10" i="3"/>
  <c r="C10" i="3"/>
  <c r="D7" i="3"/>
  <c r="D26" i="3" s="1"/>
  <c r="E7" i="3"/>
  <c r="F7" i="3"/>
  <c r="F23" i="3" s="1"/>
  <c r="G7" i="3"/>
  <c r="G23" i="3" s="1"/>
  <c r="H7" i="3"/>
  <c r="H23" i="3" s="1"/>
  <c r="I7" i="3"/>
  <c r="J7" i="3"/>
  <c r="J23" i="3" s="1"/>
  <c r="K7" i="3"/>
  <c r="K23" i="3" s="1"/>
  <c r="L7" i="3"/>
  <c r="L23" i="3" s="1"/>
  <c r="D4" i="3"/>
  <c r="E4" i="3"/>
  <c r="F4" i="3"/>
  <c r="G4" i="3"/>
  <c r="H4" i="3"/>
  <c r="I4" i="3"/>
  <c r="J4" i="3"/>
  <c r="K4" i="3"/>
  <c r="L4" i="3"/>
  <c r="C4" i="3"/>
  <c r="B2" i="3"/>
  <c r="E1" i="1"/>
  <c r="B6" i="1"/>
  <c r="J18" i="7" l="1"/>
  <c r="L17" i="3"/>
  <c r="D17" i="3"/>
  <c r="M17" i="3"/>
  <c r="I17" i="3"/>
  <c r="E17" i="3"/>
  <c r="K17" i="3"/>
  <c r="I11" i="3"/>
  <c r="E11" i="3"/>
  <c r="C11" i="3"/>
  <c r="H17" i="3"/>
  <c r="L8" i="3"/>
  <c r="H13" i="3"/>
  <c r="G17" i="3"/>
  <c r="M11" i="3"/>
  <c r="C17" i="3"/>
  <c r="C17" i="6" s="1"/>
  <c r="J17" i="3"/>
  <c r="F17" i="3"/>
  <c r="M26" i="3"/>
  <c r="D8" i="3"/>
  <c r="D5" i="6" s="1"/>
  <c r="H8" i="3"/>
  <c r="L11" i="3"/>
  <c r="H11" i="3"/>
  <c r="D11" i="3"/>
  <c r="L13" i="3"/>
  <c r="D13" i="3"/>
  <c r="H26" i="3"/>
  <c r="E26" i="3"/>
  <c r="D23" i="3"/>
  <c r="K13" i="3"/>
  <c r="K26" i="3"/>
  <c r="G13" i="3"/>
  <c r="G26" i="3"/>
  <c r="M8" i="3"/>
  <c r="E8" i="3"/>
  <c r="K11" i="3"/>
  <c r="G11" i="3"/>
  <c r="I13" i="3"/>
  <c r="L26" i="3"/>
  <c r="I26" i="3"/>
  <c r="C13" i="3"/>
  <c r="C23" i="3"/>
  <c r="I8" i="3"/>
  <c r="M13" i="3"/>
  <c r="E13" i="3"/>
  <c r="I23" i="3"/>
  <c r="J13" i="3"/>
  <c r="J26" i="3"/>
  <c r="F13" i="3"/>
  <c r="F26" i="3"/>
  <c r="E23" i="3"/>
  <c r="C26" i="3"/>
  <c r="C18" i="6" s="1"/>
  <c r="K8" i="3"/>
  <c r="G8" i="3"/>
  <c r="J11" i="3"/>
  <c r="F11" i="3"/>
  <c r="J8" i="3"/>
  <c r="F8" i="3"/>
  <c r="D19" i="3" l="1"/>
  <c r="D14" i="3"/>
  <c r="F19" i="3"/>
  <c r="F14" i="3"/>
  <c r="C19" i="3"/>
  <c r="C14" i="3"/>
  <c r="C11" i="6" s="1"/>
  <c r="H19" i="3"/>
  <c r="H14" i="3"/>
  <c r="M19" i="3"/>
  <c r="M14" i="3"/>
  <c r="G19" i="3"/>
  <c r="G14" i="3"/>
  <c r="I19" i="3"/>
  <c r="I14" i="3"/>
  <c r="K19" i="3"/>
  <c r="K14" i="3"/>
  <c r="E19" i="3"/>
  <c r="E14" i="3"/>
  <c r="L19" i="3"/>
  <c r="L14" i="3"/>
  <c r="J19" i="3"/>
  <c r="J14" i="3"/>
  <c r="C21" i="6" l="1"/>
  <c r="C13" i="6"/>
  <c r="C19" i="6" s="1"/>
  <c r="C25" i="6"/>
  <c r="D6" i="6"/>
  <c r="K20" i="3"/>
  <c r="K28" i="3"/>
  <c r="L20" i="3"/>
  <c r="L28" i="3"/>
  <c r="G20" i="3"/>
  <c r="G28" i="3"/>
  <c r="H20" i="3"/>
  <c r="H28" i="3"/>
  <c r="F20" i="3"/>
  <c r="F28" i="3"/>
  <c r="J20" i="3"/>
  <c r="J28" i="3"/>
  <c r="E20" i="3"/>
  <c r="E28" i="3"/>
  <c r="I20" i="3"/>
  <c r="I28" i="3"/>
  <c r="M20" i="3"/>
  <c r="M28" i="3"/>
  <c r="C20" i="3"/>
  <c r="C12" i="6" s="1"/>
  <c r="C28" i="3"/>
  <c r="D7" i="6" s="1"/>
  <c r="D20" i="3"/>
  <c r="D28" i="3"/>
  <c r="C34" i="3" l="1"/>
  <c r="C29" i="3"/>
  <c r="C14" i="6" s="1"/>
  <c r="C32" i="3"/>
  <c r="J34" i="3"/>
  <c r="J29" i="3"/>
  <c r="J32" i="3"/>
  <c r="L29" i="3"/>
  <c r="L34" i="3"/>
  <c r="L32" i="3"/>
  <c r="D29" i="3"/>
  <c r="D34" i="3"/>
  <c r="D32" i="3"/>
  <c r="E34" i="3"/>
  <c r="E32" i="3"/>
  <c r="E29" i="3"/>
  <c r="G29" i="3"/>
  <c r="G34" i="3"/>
  <c r="G32" i="3"/>
  <c r="I34" i="3"/>
  <c r="I32" i="3"/>
  <c r="I29" i="3"/>
  <c r="H29" i="3"/>
  <c r="H34" i="3"/>
  <c r="H32" i="3"/>
  <c r="M34" i="3"/>
  <c r="M32" i="3"/>
  <c r="M29" i="3"/>
  <c r="F34" i="3"/>
  <c r="F29" i="3"/>
  <c r="F32" i="3"/>
  <c r="K29" i="3"/>
  <c r="K34" i="3"/>
  <c r="K32" i="3"/>
  <c r="C23" i="6" l="1"/>
  <c r="D8" i="6"/>
  <c r="L35" i="3"/>
  <c r="L39" i="3"/>
  <c r="I35" i="3"/>
  <c r="I39" i="3"/>
  <c r="K35" i="3"/>
  <c r="K39" i="3"/>
  <c r="F39" i="3"/>
  <c r="F35" i="3"/>
  <c r="J39" i="3"/>
  <c r="J35" i="3"/>
  <c r="H35" i="3"/>
  <c r="H39" i="3"/>
  <c r="D35" i="3"/>
  <c r="D39" i="3"/>
  <c r="M39" i="3"/>
  <c r="M35" i="3"/>
  <c r="G35" i="3"/>
  <c r="G39" i="3"/>
  <c r="E39" i="3"/>
  <c r="E35" i="3"/>
  <c r="C39" i="3"/>
  <c r="C43" i="3" s="1"/>
  <c r="C45" i="3" s="1"/>
  <c r="C22" i="6" s="1"/>
  <c r="C35" i="3"/>
  <c r="C15" i="6" s="1"/>
  <c r="C24" i="6" l="1"/>
  <c r="H40" i="3"/>
  <c r="H43" i="3"/>
  <c r="H45" i="3" s="1"/>
  <c r="I40" i="3"/>
  <c r="I43" i="3"/>
  <c r="I45" i="3" s="1"/>
  <c r="E40" i="3"/>
  <c r="E43" i="3"/>
  <c r="E45" i="3" s="1"/>
  <c r="M40" i="3"/>
  <c r="M43" i="3"/>
  <c r="M45" i="3" s="1"/>
  <c r="F40" i="3"/>
  <c r="F43" i="3"/>
  <c r="F45" i="3" s="1"/>
  <c r="G40" i="3"/>
  <c r="G43" i="3"/>
  <c r="G45" i="3" s="1"/>
  <c r="D40" i="3"/>
  <c r="D43" i="3"/>
  <c r="D45" i="3" s="1"/>
  <c r="K40" i="3"/>
  <c r="K43" i="3"/>
  <c r="K45" i="3" s="1"/>
  <c r="L40" i="3"/>
  <c r="L43" i="3"/>
  <c r="L45" i="3" s="1"/>
  <c r="J40" i="3"/>
  <c r="J43" i="3"/>
  <c r="J45" i="3" s="1"/>
</calcChain>
</file>

<file path=xl/sharedStrings.xml><?xml version="1.0" encoding="utf-8"?>
<sst xmlns="http://schemas.openxmlformats.org/spreadsheetml/2006/main" count="221" uniqueCount="151">
  <si>
    <t>COMPANY NAME</t>
  </si>
  <si>
    <t>MARUTI SUZUKI INDIA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</si>
  <si>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</si>
  <si>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</si>
  <si>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</si>
  <si>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</si>
  <si>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</si>
  <si>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</si>
  <si>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</si>
  <si>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</si>
  <si>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</si>
  <si>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</si>
  <si>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</si>
  <si>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</si>
  <si>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</si>
  <si>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</si>
  <si>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</si>
  <si>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</si>
  <si>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</si>
  <si>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</si>
  <si>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</si>
  <si>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</si>
  <si>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</si>
  <si>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</si>
  <si>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</si>
  <si>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</si>
  <si>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</si>
  <si>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</si>
  <si>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</si>
  <si>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</si>
  <si>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</si>
  <si>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</si>
  <si>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</si>
  <si>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</si>
  <si>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</si>
  <si>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</si>
  <si>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</si>
  <si>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</si>
  <si>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</si>
  <si>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</si>
  <si>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</si>
  <si>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</si>
  <si>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</si>
  <si>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</si>
  <si>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</si>
  <si>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</si>
  <si>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</si>
  <si>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</si>
  <si>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</si>
  <si>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</si>
  <si>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</si>
  <si>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</si>
  <si>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</si>
  <si>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</si>
  <si>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</si>
  <si>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LTM</t>
  </si>
  <si>
    <t>#</t>
  </si>
  <si>
    <t>Income Statement</t>
  </si>
  <si>
    <t>Sales Growth</t>
  </si>
  <si>
    <t>COGS</t>
  </si>
  <si>
    <t>COGS % Sales</t>
  </si>
  <si>
    <t>Gross Profit</t>
  </si>
  <si>
    <t>Selling &amp; General Expenses</t>
  </si>
  <si>
    <t>S&amp;G % Sales</t>
  </si>
  <si>
    <t>EBITDA</t>
  </si>
  <si>
    <t>EBITDA Margains</t>
  </si>
  <si>
    <t>Interest % Sales</t>
  </si>
  <si>
    <t>Depreciation % Sales</t>
  </si>
  <si>
    <t>Gross Margins</t>
  </si>
  <si>
    <t>Earnings Before Tax (EBT)</t>
  </si>
  <si>
    <t>EBT % Sales</t>
  </si>
  <si>
    <t>Effective Tax Rate</t>
  </si>
  <si>
    <t>Net Profit</t>
  </si>
  <si>
    <t>Net Margins %</t>
  </si>
  <si>
    <t>EPS</t>
  </si>
  <si>
    <t>Dividend per share</t>
  </si>
  <si>
    <t>EPS Growth %</t>
  </si>
  <si>
    <t>Dividend payout ratio</t>
  </si>
  <si>
    <t>Retained Earnings</t>
  </si>
  <si>
    <t>Balance Sheet</t>
  </si>
  <si>
    <t>Total Liabilities</t>
  </si>
  <si>
    <t>Fixed Assets Net Block</t>
  </si>
  <si>
    <t>Total Non Current Assets</t>
  </si>
  <si>
    <t>Total Current Assets</t>
  </si>
  <si>
    <t>Total Assets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</si>
  <si>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</si>
  <si>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</si>
  <si>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</si>
  <si>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</si>
  <si>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</si>
  <si>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</si>
  <si>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</si>
  <si>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</si>
  <si>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</si>
  <si>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</si>
  <si>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</si>
  <si>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</si>
  <si>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</si>
  <si>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</si>
  <si>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Acquisition of companies</t>
  </si>
  <si>
    <t>Other investing items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</si>
  <si>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</si>
  <si>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</si>
  <si>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</si>
  <si>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</si>
  <si>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</si>
  <si>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</si>
  <si>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from Operating Activity -</t>
  </si>
  <si>
    <t>Cash from Investing Activity -</t>
  </si>
  <si>
    <t>Cash from Financing Activity -</t>
  </si>
  <si>
    <t>Cash Flow Statements</t>
  </si>
  <si>
    <t>Cash from Operating Activities</t>
  </si>
  <si>
    <t xml:space="preserve"> Operating Activities</t>
  </si>
  <si>
    <t>Investing Activities</t>
  </si>
  <si>
    <t>Cash from Investing Activities</t>
  </si>
  <si>
    <t>Financial Activities</t>
  </si>
  <si>
    <t>Cash from Financial Activites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</si>
  <si>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</si>
  <si>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</si>
  <si>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</si>
  <si>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</si>
  <si>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</si>
  <si>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</si>
  <si>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</si>
  <si>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</si>
  <si>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</si>
  <si>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Sales Expenses % Sales</t>
  </si>
  <si>
    <t>Operating Income % Sales</t>
  </si>
  <si>
    <t>Return on Capital Employed</t>
  </si>
  <si>
    <t>Retained Earnings %</t>
  </si>
  <si>
    <t>Return on Equity</t>
  </si>
  <si>
    <t>Self Sustained Growth Rate</t>
  </si>
  <si>
    <t>Interested Coverage Ratio</t>
  </si>
  <si>
    <t>Debtor Turnover Ratio</t>
  </si>
  <si>
    <t>Creditor Turnover Ratio</t>
  </si>
  <si>
    <t>Inventory Turnover</t>
  </si>
  <si>
    <t>Fixed Asset Turnover</t>
  </si>
  <si>
    <t>Capital Turnover Ratio</t>
  </si>
  <si>
    <t>Debtor Days</t>
  </si>
  <si>
    <t>Payable Days</t>
  </si>
  <si>
    <t>Inventory Days</t>
  </si>
  <si>
    <t>Cash Conversion Cycle</t>
  </si>
  <si>
    <t>CFO/Sales</t>
  </si>
  <si>
    <t>CFO/Fixed Assets</t>
  </si>
  <si>
    <t>CFO/Total Debt</t>
  </si>
  <si>
    <t>(in days)</t>
  </si>
  <si>
    <t>Mean</t>
  </si>
  <si>
    <t>Median</t>
  </si>
  <si>
    <t>Trend</t>
  </si>
  <si>
    <t>Year Weight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</si>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</sst>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7" formatCode="&quot;₹&quot;\ #,##0.00;&quot;₹&quot;\ \-#,##0.00"/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&quot;₹&quot;\ #,##0.0;\(&quot;₹&quot;\ \-#,##0\);\-"/>
    <numFmt numFmtId="167" formatCode="&quot;₹&quot;\ #,##0.00;\(&quot;₹&quot;\ \-#,##0.0\);\-"/>
    <numFmt numFmtId="168" formatCode="0.00&quot;x&quot;"/>
    <numFmt numFmtId="169" formatCode="yyyy"/>
    <numFmt numFmtId="170" formatCode="yyyy&quot;A&quot;"/>
    <numFmt numFmtId="171" formatCode="yyyy&quot;E&quot;"/>
    <numFmt numFmtId="172" formatCode="#,##0.0"/>
  </numFmts>
  <fonts count="16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2"/>
      <color theme="3" tint="0.39997558519241921"/>
      <name val="Calibri"/>
      <family val="2"/>
    </font>
    <font>
      <b/>
      <i/>
      <sz val="12"/>
      <color theme="3" tint="0.39997558519241921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name val="Calibri"/>
      <family val="2"/>
      <scheme val="minor"/>
    </font>
    <font>
      <b/>
      <i/>
      <sz val="12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hair">
        <color theme="9"/>
      </top>
      <bottom style="hair">
        <color theme="9"/>
      </bottom>
      <diagonal/>
    </border>
    <border>
      <left/>
      <right/>
      <top style="hair">
        <color theme="8"/>
      </top>
      <bottom/>
      <diagonal/>
    </border>
    <border>
      <left/>
      <right/>
      <top/>
      <bottom style="hair">
        <color theme="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43" fontId="5" fillId="0" borderId="0" xfId="1" applyFont="1" applyBorder="1"/>
    <xf numFmtId="43" fontId="0" fillId="0" borderId="0" xfId="1" applyFont="1" applyBorder="1"/>
    <xf numFmtId="164" fontId="7" fillId="3" borderId="0" xfId="1" applyNumberFormat="1" applyFont="1" applyFill="1" applyBorder="1"/>
    <xf numFmtId="164" fontId="7" fillId="3" borderId="0" xfId="0" applyNumberFormat="1" applyFont="1" applyFill="1" applyBorder="1" applyAlignment="1">
      <alignment horizontal="center"/>
    </xf>
    <xf numFmtId="164" fontId="8" fillId="0" borderId="0" xfId="1" applyNumberFormat="1" applyFont="1" applyFill="1" applyBorder="1"/>
    <xf numFmtId="43" fontId="4" fillId="0" borderId="0" xfId="1" applyFont="1" applyBorder="1"/>
    <xf numFmtId="165" fontId="0" fillId="0" borderId="0" xfId="1" applyNumberFormat="1" applyFont="1" applyBorder="1"/>
    <xf numFmtId="0" fontId="0" fillId="0" borderId="0" xfId="0" applyAlignment="1">
      <alignment wrapText="1"/>
    </xf>
    <xf numFmtId="0" fontId="2" fillId="4" borderId="0" xfId="0" applyFont="1" applyFill="1"/>
    <xf numFmtId="17" fontId="2" fillId="4" borderId="0" xfId="0" applyNumberFormat="1" applyFont="1" applyFill="1"/>
    <xf numFmtId="17" fontId="2" fillId="4" borderId="0" xfId="0" applyNumberFormat="1" applyFont="1" applyFill="1" applyAlignment="1">
      <alignment horizontal="right"/>
    </xf>
    <xf numFmtId="166" fontId="0" fillId="0" borderId="0" xfId="0" applyNumberFormat="1"/>
    <xf numFmtId="0" fontId="9" fillId="0" borderId="0" xfId="0" applyFont="1"/>
    <xf numFmtId="0" fontId="10" fillId="0" borderId="0" xfId="0" applyFont="1"/>
    <xf numFmtId="167" fontId="0" fillId="0" borderId="0" xfId="0" applyNumberFormat="1"/>
    <xf numFmtId="10" fontId="9" fillId="0" borderId="0" xfId="2" applyNumberFormat="1" applyFont="1"/>
    <xf numFmtId="7" fontId="0" fillId="0" borderId="0" xfId="0" applyNumberFormat="1"/>
    <xf numFmtId="0" fontId="11" fillId="0" borderId="0" xfId="0" applyFont="1"/>
    <xf numFmtId="0" fontId="2" fillId="5" borderId="0" xfId="0" applyFont="1" applyFill="1"/>
    <xf numFmtId="17" fontId="2" fillId="5" borderId="0" xfId="0" applyNumberFormat="1" applyFont="1" applyFill="1"/>
    <xf numFmtId="17" fontId="2" fillId="5" borderId="0" xfId="0" applyNumberFormat="1" applyFont="1" applyFill="1" applyAlignment="1">
      <alignment horizontal="right"/>
    </xf>
    <xf numFmtId="0" fontId="0" fillId="6" borderId="0" xfId="0" applyFill="1"/>
    <xf numFmtId="9" fontId="0" fillId="0" borderId="0" xfId="2" applyFont="1"/>
    <xf numFmtId="0" fontId="12" fillId="0" borderId="0" xfId="0" applyFont="1"/>
    <xf numFmtId="7" fontId="12" fillId="0" borderId="0" xfId="0" applyNumberFormat="1" applyFont="1"/>
    <xf numFmtId="0" fontId="13" fillId="0" borderId="0" xfId="0" applyFont="1"/>
    <xf numFmtId="17" fontId="14" fillId="7" borderId="1" xfId="0" applyNumberFormat="1" applyFont="1" applyFill="1" applyBorder="1" applyAlignment="1">
      <alignment horizontal="right" vertical="center" wrapText="1"/>
    </xf>
    <xf numFmtId="0" fontId="12" fillId="0" borderId="2" xfId="0" applyFont="1" applyBorder="1"/>
    <xf numFmtId="7" fontId="12" fillId="0" borderId="2" xfId="0" applyNumberFormat="1" applyFont="1" applyBorder="1"/>
    <xf numFmtId="10" fontId="0" fillId="0" borderId="0" xfId="2" applyNumberFormat="1" applyFont="1"/>
    <xf numFmtId="168" fontId="0" fillId="0" borderId="0" xfId="0" applyNumberFormat="1"/>
    <xf numFmtId="0" fontId="15" fillId="0" borderId="0" xfId="0" applyFont="1"/>
    <xf numFmtId="0" fontId="0" fillId="0" borderId="3" xfId="0" applyBorder="1"/>
    <xf numFmtId="10" fontId="0" fillId="0" borderId="3" xfId="2" applyNumberFormat="1" applyFont="1" applyBorder="1"/>
    <xf numFmtId="0" fontId="0" fillId="0" borderId="0" xfId="0" applyBorder="1"/>
    <xf numFmtId="10" fontId="0" fillId="0" borderId="0" xfId="2" applyNumberFormat="1" applyFont="1" applyBorder="1"/>
    <xf numFmtId="0" fontId="0" fillId="0" borderId="4" xfId="0" applyBorder="1"/>
    <xf numFmtId="10" fontId="0" fillId="0" borderId="4" xfId="2" applyNumberFormat="1" applyFont="1" applyBorder="1"/>
    <xf numFmtId="168" fontId="0" fillId="0" borderId="4" xfId="0" applyNumberFormat="1" applyBorder="1"/>
    <xf numFmtId="168" fontId="0" fillId="0" borderId="3" xfId="0" applyNumberFormat="1" applyBorder="1"/>
    <xf numFmtId="168" fontId="0" fillId="0" borderId="0" xfId="0" applyNumberFormat="1" applyBorder="1"/>
    <xf numFmtId="1" fontId="0" fillId="0" borderId="3" xfId="0" applyNumberFormat="1" applyBorder="1"/>
    <xf numFmtId="1" fontId="0" fillId="0" borderId="0" xfId="0" applyNumberFormat="1" applyBorder="1"/>
    <xf numFmtId="1" fontId="0" fillId="0" borderId="4" xfId="0" applyNumberFormat="1" applyBorder="1"/>
    <xf numFmtId="0" fontId="2" fillId="0" borderId="0" xfId="0" applyFont="1" applyFill="1" applyAlignment="1"/>
    <xf numFmtId="17" fontId="2" fillId="4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169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172" fontId="0" fillId="0" borderId="0" xfId="0" applyNumberFormat="1"/>
    <xf numFmtId="0" fontId="0" fillId="9" borderId="0" xfId="0" applyFill="1" applyAlignment="1">
      <alignment horizontal="left"/>
    </xf>
    <xf numFmtId="171" fontId="0" fillId="9" borderId="0" xfId="0" applyNumberFormat="1" applyFill="1" applyAlignment="1">
      <alignment horizontal="right"/>
    </xf>
    <xf numFmtId="172" fontId="0" fillId="9" borderId="0" xfId="0" applyNumberFormat="1" applyFill="1"/>
    <xf numFmtId="10" fontId="0" fillId="9" borderId="0" xfId="2" applyNumberFormat="1" applyFont="1" applyFill="1"/>
    <xf numFmtId="0" fontId="2" fillId="4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43" fontId="6" fillId="0" borderId="0" xfId="4" applyNumberFormat="1" applyBorder="1" applyAlignment="1" applyProtection="1">
      <alignment horizontal="center"/>
    </xf>
    <xf numFmtId="43" fontId="7" fillId="2" borderId="0" xfId="3" applyNumberFormat="1" applyFont="1" applyBorder="1" applyAlignment="1">
      <alignment horizontal="center"/>
    </xf>
  </cellXfs>
  <cellStyles count="5">
    <cellStyle name="Accent6" xfId="3" builtinId="49"/>
    <cellStyle name="Comma" xfId="1" builtinId="3"/>
    <cellStyle name="Hyperlink" xfId="4" builtinId="8"/>
    <cellStyle name="Normal" xfId="0" builtinId="0"/>
    <cellStyle name="Percent" xfId="2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"/>
  <sheetViews>
    <sheetView showGridLines="0" workbookViewId="0">
      <selection activeCell="A4" sqref="A1:A1048576"/>
    </sheetView>
  </sheetViews>
  <sheetFormatPr defaultRowHeight="15.7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05"/>
  <sheetViews>
    <sheetView showGridLines="0" topLeftCell="A15" workbookViewId="0">
      <selection activeCell="C19" sqref="C19"/>
    </sheetView>
  </sheetViews>
  <sheetFormatPr defaultRowHeight="15.75" x14ac:dyDescent="0.25"/>
  <cols>
    <col min="1" max="1" width="1.75" style="8" customWidth="1"/>
    <col min="2" max="2" width="26.875" customWidth="1"/>
    <col min="3" max="3" width="11" customWidth="1"/>
    <col min="4" max="4" width="10.875" customWidth="1"/>
    <col min="5" max="5" width="11.625" customWidth="1"/>
    <col min="6" max="6" width="11.125" customWidth="1"/>
    <col min="7" max="8" width="10.875" customWidth="1"/>
    <col min="9" max="9" width="11.625" customWidth="1"/>
    <col min="10" max="10" width="12.125" customWidth="1"/>
    <col min="11" max="11" width="11.625" customWidth="1"/>
    <col min="12" max="12" width="12.625" customWidth="1"/>
    <col min="13" max="13" width="12.125" customWidth="1"/>
  </cols>
  <sheetData>
    <row r="2" spans="1:13" x14ac:dyDescent="0.25">
      <c r="B2" s="56" t="str">
        <f>"Historical Financial Statements - "&amp;'Data Sheet'!B1</f>
        <v>Historical Financial Statements - MARUTI SUZUKI INDIA LTD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</row>
    <row r="3" spans="1:13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x14ac:dyDescent="0.25">
      <c r="B4" s="9" t="s">
        <v>54</v>
      </c>
      <c r="C4" s="10">
        <f>'Data Sheet'!B16</f>
        <v>42825</v>
      </c>
      <c r="D4" s="10">
        <f>'Data Sheet'!C16</f>
        <v>43190</v>
      </c>
      <c r="E4" s="10">
        <f>'Data Sheet'!D16</f>
        <v>43555</v>
      </c>
      <c r="F4" s="10">
        <f>'Data Sheet'!E16</f>
        <v>43921</v>
      </c>
      <c r="G4" s="10">
        <f>'Data Sheet'!F16</f>
        <v>44286</v>
      </c>
      <c r="H4" s="10">
        <f>'Data Sheet'!G16</f>
        <v>44651</v>
      </c>
      <c r="I4" s="10">
        <f>'Data Sheet'!H16</f>
        <v>45016</v>
      </c>
      <c r="J4" s="10">
        <f>'Data Sheet'!I16</f>
        <v>45382</v>
      </c>
      <c r="K4" s="10">
        <f>'Data Sheet'!J16</f>
        <v>45747</v>
      </c>
      <c r="L4" s="10">
        <f>'Data Sheet'!K16</f>
        <v>46112</v>
      </c>
      <c r="M4" s="11" t="s">
        <v>55</v>
      </c>
    </row>
    <row r="5" spans="1:13" x14ac:dyDescent="0.25"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1"/>
    </row>
    <row r="6" spans="1:13" x14ac:dyDescent="0.25">
      <c r="A6" s="8" t="s">
        <v>56</v>
      </c>
      <c r="B6" s="22" t="s">
        <v>57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 spans="1:13" x14ac:dyDescent="0.25">
      <c r="B7" t="s">
        <v>12</v>
      </c>
      <c r="C7" s="12">
        <f>IFERROR('Data Sheet'!B17,0)</f>
        <v>68085</v>
      </c>
      <c r="D7" s="12">
        <f>IFERROR('Data Sheet'!C17,0)</f>
        <v>79809.399999999994</v>
      </c>
      <c r="E7" s="12">
        <f>IFERROR('Data Sheet'!D17,0)</f>
        <v>86068.5</v>
      </c>
      <c r="F7" s="12">
        <f>IFERROR('Data Sheet'!E17,0)</f>
        <v>75660</v>
      </c>
      <c r="G7" s="12">
        <f>IFERROR('Data Sheet'!F17,0)</f>
        <v>70372</v>
      </c>
      <c r="H7" s="12">
        <f>IFERROR('Data Sheet'!G17,0)</f>
        <v>88329.8</v>
      </c>
      <c r="I7" s="12">
        <f>IFERROR('Data Sheet'!H17,0)</f>
        <v>117571.3</v>
      </c>
      <c r="J7" s="12">
        <f>IFERROR('Data Sheet'!I17,0)</f>
        <v>141858.20000000001</v>
      </c>
      <c r="K7" s="12">
        <f>IFERROR('Data Sheet'!J17,0)</f>
        <v>152913</v>
      </c>
      <c r="L7" s="12">
        <f>IFERROR('Data Sheet'!K17,0)</f>
        <v>183316</v>
      </c>
      <c r="M7" s="12">
        <f>IFERROR(SUM('Data Sheet'!H42:K42),0)</f>
        <v>183316</v>
      </c>
    </row>
    <row r="8" spans="1:13" x14ac:dyDescent="0.25">
      <c r="B8" s="14" t="s">
        <v>58</v>
      </c>
      <c r="C8" s="13">
        <v>0</v>
      </c>
      <c r="D8" s="16">
        <f>D7/C7-1</f>
        <v>0.17220239406624072</v>
      </c>
      <c r="E8" s="16">
        <f t="shared" ref="E8:M8" si="0">E7/D7-1</f>
        <v>7.8425598989592782E-2</v>
      </c>
      <c r="F8" s="16">
        <f t="shared" si="0"/>
        <v>-0.12093274542951249</v>
      </c>
      <c r="G8" s="16">
        <f t="shared" si="0"/>
        <v>-6.9891620407084298E-2</v>
      </c>
      <c r="H8" s="16">
        <f t="shared" si="0"/>
        <v>0.25518387995225389</v>
      </c>
      <c r="I8" s="16">
        <f t="shared" si="0"/>
        <v>0.3310490910202446</v>
      </c>
      <c r="J8" s="16">
        <f t="shared" si="0"/>
        <v>0.20657167182807368</v>
      </c>
      <c r="K8" s="16">
        <f t="shared" si="0"/>
        <v>7.7928522989858751E-2</v>
      </c>
      <c r="L8" s="16">
        <f t="shared" si="0"/>
        <v>0.19882547592421829</v>
      </c>
      <c r="M8" s="16">
        <f t="shared" si="0"/>
        <v>0</v>
      </c>
    </row>
    <row r="10" spans="1:13" x14ac:dyDescent="0.25">
      <c r="B10" t="s">
        <v>59</v>
      </c>
      <c r="C10" s="15">
        <f>IFERROR('Data Sheet'!B20,0)</f>
        <v>518.6</v>
      </c>
      <c r="D10" s="15">
        <f>IFERROR('Data Sheet'!C20,0)</f>
        <v>673.4</v>
      </c>
      <c r="E10" s="15">
        <f>IFERROR('Data Sheet'!D20,0)</f>
        <v>863.3</v>
      </c>
      <c r="F10" s="15">
        <f>IFERROR('Data Sheet'!E20,0)</f>
        <v>699.5</v>
      </c>
      <c r="G10" s="15">
        <f>IFERROR('Data Sheet'!F20,0)</f>
        <v>476.6</v>
      </c>
      <c r="H10" s="15">
        <f>IFERROR('Data Sheet'!G20,0)</f>
        <v>630.9</v>
      </c>
      <c r="I10" s="15">
        <f>IFERROR('Data Sheet'!H20,0)</f>
        <v>790</v>
      </c>
      <c r="J10" s="15">
        <f>IFERROR('Data Sheet'!I20,0)</f>
        <v>1033.4000000000001</v>
      </c>
      <c r="K10" s="15">
        <f>IFERROR('Data Sheet'!J20,0)</f>
        <v>1052.5999999999999</v>
      </c>
      <c r="L10" s="15">
        <f>IFERROR('Data Sheet'!K20,0)</f>
        <v>0</v>
      </c>
      <c r="M10" s="15">
        <f>IFERROR('Data Sheet'!L20,0)</f>
        <v>0</v>
      </c>
    </row>
    <row r="11" spans="1:13" x14ac:dyDescent="0.25">
      <c r="B11" s="14" t="s">
        <v>60</v>
      </c>
      <c r="C11" s="16">
        <f>C10/C7</f>
        <v>7.6169494014834398E-3</v>
      </c>
      <c r="D11" s="16">
        <f t="shared" ref="D11:M11" si="1">D10/D7</f>
        <v>8.4376025881663062E-3</v>
      </c>
      <c r="E11" s="16">
        <f t="shared" si="1"/>
        <v>1.0030382776509408E-2</v>
      </c>
      <c r="F11" s="16">
        <f t="shared" si="1"/>
        <v>9.2453079566481629E-3</v>
      </c>
      <c r="G11" s="16">
        <f t="shared" si="1"/>
        <v>6.7725800034104475E-3</v>
      </c>
      <c r="H11" s="16">
        <f t="shared" si="1"/>
        <v>7.1425498529375129E-3</v>
      </c>
      <c r="I11" s="16">
        <f t="shared" si="1"/>
        <v>6.7193269105640576E-3</v>
      </c>
      <c r="J11" s="16">
        <f t="shared" si="1"/>
        <v>7.2847392678040464E-3</v>
      </c>
      <c r="K11" s="16">
        <f t="shared" si="1"/>
        <v>6.8836527960343457E-3</v>
      </c>
      <c r="L11" s="16">
        <f t="shared" si="1"/>
        <v>0</v>
      </c>
      <c r="M11" s="16">
        <f t="shared" si="1"/>
        <v>0</v>
      </c>
    </row>
    <row r="13" spans="1:13" x14ac:dyDescent="0.25">
      <c r="B13" s="28" t="s">
        <v>61</v>
      </c>
      <c r="C13" s="29">
        <f>C7-C10</f>
        <v>67566.399999999994</v>
      </c>
      <c r="D13" s="29">
        <f t="shared" ref="D13:M13" si="2">D7-D10</f>
        <v>79136</v>
      </c>
      <c r="E13" s="29">
        <f t="shared" si="2"/>
        <v>85205.2</v>
      </c>
      <c r="F13" s="29">
        <f t="shared" si="2"/>
        <v>74960.5</v>
      </c>
      <c r="G13" s="29">
        <f t="shared" si="2"/>
        <v>69895.399999999994</v>
      </c>
      <c r="H13" s="29">
        <f t="shared" si="2"/>
        <v>87698.900000000009</v>
      </c>
      <c r="I13" s="29">
        <f t="shared" si="2"/>
        <v>116781.3</v>
      </c>
      <c r="J13" s="29">
        <f t="shared" si="2"/>
        <v>140824.80000000002</v>
      </c>
      <c r="K13" s="29">
        <f t="shared" si="2"/>
        <v>151860.4</v>
      </c>
      <c r="L13" s="29">
        <f t="shared" si="2"/>
        <v>183316</v>
      </c>
      <c r="M13" s="29">
        <f t="shared" si="2"/>
        <v>183316</v>
      </c>
    </row>
    <row r="14" spans="1:13" x14ac:dyDescent="0.25">
      <c r="B14" s="14" t="s">
        <v>68</v>
      </c>
      <c r="C14" s="16">
        <f>C13/C7</f>
        <v>0.9923830505985165</v>
      </c>
      <c r="D14" s="16">
        <f t="shared" ref="D14:M14" si="3">D13/D7</f>
        <v>0.99156239741183372</v>
      </c>
      <c r="E14" s="16">
        <f t="shared" si="3"/>
        <v>0.98996961722349053</v>
      </c>
      <c r="F14" s="16">
        <f t="shared" si="3"/>
        <v>0.99075469204335187</v>
      </c>
      <c r="G14" s="16">
        <f t="shared" si="3"/>
        <v>0.99322741999658948</v>
      </c>
      <c r="H14" s="16">
        <f t="shared" si="3"/>
        <v>0.9928574501470625</v>
      </c>
      <c r="I14" s="16">
        <f t="shared" si="3"/>
        <v>0.99328067308943591</v>
      </c>
      <c r="J14" s="16">
        <f t="shared" si="3"/>
        <v>0.99271526073219596</v>
      </c>
      <c r="K14" s="16">
        <f t="shared" si="3"/>
        <v>0.99311634720396558</v>
      </c>
      <c r="L14" s="16">
        <f t="shared" si="3"/>
        <v>1</v>
      </c>
      <c r="M14" s="16">
        <f t="shared" si="3"/>
        <v>1</v>
      </c>
    </row>
    <row r="15" spans="1:13" x14ac:dyDescent="0.25"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x14ac:dyDescent="0.25">
      <c r="B16" s="18" t="s">
        <v>62</v>
      </c>
      <c r="C16" s="17">
        <f>IFERROR(SUM('Data Sheet'!B23,'Data Sheet'!B24),0)</f>
        <v>7659.7000000000007</v>
      </c>
      <c r="D16" s="17">
        <f>IFERROR(SUM('Data Sheet'!C23,'Data Sheet'!C24),0)</f>
        <v>8706.5</v>
      </c>
      <c r="E16" s="17">
        <f>IFERROR(SUM('Data Sheet'!D23,'Data Sheet'!D24),0)</f>
        <v>10830</v>
      </c>
      <c r="F16" s="17">
        <f>IFERROR(SUM('Data Sheet'!E23,'Data Sheet'!E24),0)</f>
        <v>10647.9</v>
      </c>
      <c r="G16" s="17">
        <f>IFERROR(SUM('Data Sheet'!F23,'Data Sheet'!F24),0)</f>
        <v>9545.7999999999993</v>
      </c>
      <c r="H16" s="17">
        <f>IFERROR(SUM('Data Sheet'!G23,'Data Sheet'!G24),0)</f>
        <v>10999</v>
      </c>
      <c r="I16" s="17">
        <f>IFERROR(SUM('Data Sheet'!H23,'Data Sheet'!H24),0)</f>
        <v>13746</v>
      </c>
      <c r="J16" s="17">
        <f>IFERROR(SUM('Data Sheet'!I23,'Data Sheet'!I24),0)</f>
        <v>15216.7</v>
      </c>
      <c r="K16" s="17">
        <f>IFERROR(SUM('Data Sheet'!J23,'Data Sheet'!J24),0)</f>
        <v>15125.599999999999</v>
      </c>
      <c r="L16" s="17">
        <f>IFERROR(SUM('Data Sheet'!K23,'Data Sheet'!K24),0)</f>
        <v>20234.599999999999</v>
      </c>
      <c r="M16" s="17">
        <f>IFERROR(SUM('Data Sheet'!L23,'Data Sheet'!L24),0)</f>
        <v>0</v>
      </c>
    </row>
    <row r="17" spans="2:13" x14ac:dyDescent="0.25">
      <c r="B17" s="14" t="s">
        <v>63</v>
      </c>
      <c r="C17" s="16">
        <f>C16/C7</f>
        <v>0.11250201953440553</v>
      </c>
      <c r="D17" s="16">
        <f t="shared" ref="D17:M17" si="4">D16/D7</f>
        <v>0.10909115968795656</v>
      </c>
      <c r="E17" s="16">
        <f t="shared" si="4"/>
        <v>0.12583000749403092</v>
      </c>
      <c r="F17" s="16">
        <f t="shared" si="4"/>
        <v>0.14073354480570974</v>
      </c>
      <c r="G17" s="16">
        <f t="shared" si="4"/>
        <v>0.13564770079008695</v>
      </c>
      <c r="H17" s="16">
        <f t="shared" si="4"/>
        <v>0.12452196201055589</v>
      </c>
      <c r="I17" s="16">
        <f t="shared" si="4"/>
        <v>0.1169162882438146</v>
      </c>
      <c r="J17" s="16">
        <f t="shared" si="4"/>
        <v>0.10726697504973276</v>
      </c>
      <c r="K17" s="16">
        <f t="shared" si="4"/>
        <v>9.8916377286430837E-2</v>
      </c>
      <c r="L17" s="16">
        <f t="shared" si="4"/>
        <v>0.11038098147461213</v>
      </c>
      <c r="M17" s="16">
        <f t="shared" si="4"/>
        <v>0</v>
      </c>
    </row>
    <row r="19" spans="2:13" x14ac:dyDescent="0.25">
      <c r="B19" s="28" t="s">
        <v>64</v>
      </c>
      <c r="C19" s="29">
        <f>C13-C16</f>
        <v>59906.7</v>
      </c>
      <c r="D19" s="29">
        <f t="shared" ref="D19:M19" si="5">D13-D16</f>
        <v>70429.5</v>
      </c>
      <c r="E19" s="29">
        <f t="shared" si="5"/>
        <v>74375.199999999997</v>
      </c>
      <c r="F19" s="29">
        <f t="shared" si="5"/>
        <v>64312.6</v>
      </c>
      <c r="G19" s="29">
        <f t="shared" si="5"/>
        <v>60349.599999999991</v>
      </c>
      <c r="H19" s="29">
        <f t="shared" si="5"/>
        <v>76699.900000000009</v>
      </c>
      <c r="I19" s="29">
        <f t="shared" si="5"/>
        <v>103035.3</v>
      </c>
      <c r="J19" s="29">
        <f t="shared" si="5"/>
        <v>125608.10000000002</v>
      </c>
      <c r="K19" s="29">
        <f t="shared" si="5"/>
        <v>136734.79999999999</v>
      </c>
      <c r="L19" s="29">
        <f t="shared" si="5"/>
        <v>163081.4</v>
      </c>
      <c r="M19" s="29">
        <f t="shared" si="5"/>
        <v>183316</v>
      </c>
    </row>
    <row r="20" spans="2:13" x14ac:dyDescent="0.25">
      <c r="B20" s="14" t="s">
        <v>65</v>
      </c>
      <c r="C20" s="16">
        <f>C19/C7</f>
        <v>0.87988103106411097</v>
      </c>
      <c r="D20" s="16">
        <f t="shared" ref="D20:M20" si="6">D19/D7</f>
        <v>0.88247123772387726</v>
      </c>
      <c r="E20" s="16">
        <f t="shared" si="6"/>
        <v>0.86413960972945969</v>
      </c>
      <c r="F20" s="16">
        <f t="shared" si="6"/>
        <v>0.85002114723764211</v>
      </c>
      <c r="G20" s="16">
        <f t="shared" si="6"/>
        <v>0.85757971920650244</v>
      </c>
      <c r="H20" s="16">
        <f t="shared" si="6"/>
        <v>0.86833548813650663</v>
      </c>
      <c r="I20" s="16">
        <f t="shared" si="6"/>
        <v>0.87636438484562129</v>
      </c>
      <c r="J20" s="16">
        <f t="shared" si="6"/>
        <v>0.88544828568246325</v>
      </c>
      <c r="K20" s="16">
        <f t="shared" si="6"/>
        <v>0.8941999699175347</v>
      </c>
      <c r="L20" s="16">
        <f t="shared" si="6"/>
        <v>0.88961901852538783</v>
      </c>
      <c r="M20" s="16">
        <f t="shared" si="6"/>
        <v>1</v>
      </c>
    </row>
    <row r="22" spans="2:13" x14ac:dyDescent="0.25">
      <c r="B22" t="s">
        <v>22</v>
      </c>
      <c r="C22" s="17">
        <f>IFERROR('Data Sheet'!B27, 0)</f>
        <v>89.4</v>
      </c>
      <c r="D22" s="17">
        <f>IFERROR('Data Sheet'!C27, 0)</f>
        <v>345.8</v>
      </c>
      <c r="E22" s="17">
        <f>IFERROR('Data Sheet'!D27, 0)</f>
        <v>75.900000000000006</v>
      </c>
      <c r="F22" s="17">
        <f>IFERROR('Data Sheet'!E27, 0)</f>
        <v>134.19999999999999</v>
      </c>
      <c r="G22" s="17">
        <f>IFERROR('Data Sheet'!F27, 0)</f>
        <v>101.8</v>
      </c>
      <c r="H22" s="17">
        <f>IFERROR('Data Sheet'!G27, 0)</f>
        <v>126.6</v>
      </c>
      <c r="I22" s="17">
        <f>IFERROR('Data Sheet'!H27, 0)</f>
        <v>187</v>
      </c>
      <c r="J22" s="17">
        <f>IFERROR('Data Sheet'!I27, 0)</f>
        <v>193.6</v>
      </c>
      <c r="K22" s="17">
        <f>IFERROR('Data Sheet'!J27, 0)</f>
        <v>194.2</v>
      </c>
      <c r="L22" s="17">
        <f>IFERROR('Data Sheet'!K27, 0)</f>
        <v>238.7</v>
      </c>
      <c r="M22" s="17">
        <f>IFERROR(SUM('Data Sheet'!H27:K27),0)</f>
        <v>813.5</v>
      </c>
    </row>
    <row r="23" spans="2:13" x14ac:dyDescent="0.25">
      <c r="B23" s="14" t="s">
        <v>66</v>
      </c>
      <c r="C23" s="16">
        <f>C22/C7</f>
        <v>1.313064551663362E-3</v>
      </c>
      <c r="D23" s="16">
        <f t="shared" ref="D23:M23" si="7">D22/D7</f>
        <v>4.3328229506799957E-3</v>
      </c>
      <c r="E23" s="16">
        <f t="shared" si="7"/>
        <v>8.8185573119085381E-4</v>
      </c>
      <c r="F23" s="16">
        <f t="shared" si="7"/>
        <v>1.7737245572297118E-3</v>
      </c>
      <c r="G23" s="16">
        <f t="shared" si="7"/>
        <v>1.4465980787813333E-3</v>
      </c>
      <c r="H23" s="16">
        <f t="shared" si="7"/>
        <v>1.4332648777649218E-3</v>
      </c>
      <c r="I23" s="16">
        <f t="shared" si="7"/>
        <v>1.5905242180702262E-3</v>
      </c>
      <c r="J23" s="16">
        <f t="shared" si="7"/>
        <v>1.3647431026193762E-3</v>
      </c>
      <c r="K23" s="16">
        <f t="shared" si="7"/>
        <v>1.2700032044365096E-3</v>
      </c>
      <c r="L23" s="16">
        <f t="shared" si="7"/>
        <v>1.3021231098212921E-3</v>
      </c>
      <c r="M23" s="16">
        <f t="shared" si="7"/>
        <v>4.4376922909075038E-3</v>
      </c>
    </row>
    <row r="25" spans="2:13" x14ac:dyDescent="0.25">
      <c r="B25" t="s">
        <v>21</v>
      </c>
      <c r="C25" s="17">
        <f>IFERROR('Data Sheet'!B26,0)</f>
        <v>2603.9</v>
      </c>
      <c r="D25" s="17">
        <f>IFERROR('Data Sheet'!C26,0)</f>
        <v>2759.8</v>
      </c>
      <c r="E25" s="17">
        <f>IFERROR('Data Sheet'!D26,0)</f>
        <v>3020.8</v>
      </c>
      <c r="F25" s="17">
        <f>IFERROR('Data Sheet'!E26,0)</f>
        <v>3528.4</v>
      </c>
      <c r="G25" s="17">
        <f>IFERROR('Data Sheet'!F26,0)</f>
        <v>3034.1</v>
      </c>
      <c r="H25" s="17">
        <f>IFERROR('Data Sheet'!G26,0)</f>
        <v>2789</v>
      </c>
      <c r="I25" s="17">
        <f>IFERROR('Data Sheet'!H26,0)</f>
        <v>2825.7</v>
      </c>
      <c r="J25" s="17">
        <f>IFERROR('Data Sheet'!I26,0)</f>
        <v>5255.8</v>
      </c>
      <c r="K25" s="17">
        <f>IFERROR('Data Sheet'!J26,0)</f>
        <v>5608.2</v>
      </c>
      <c r="L25" s="17">
        <f>IFERROR('Data Sheet'!K26,0)</f>
        <v>6741.7</v>
      </c>
      <c r="M25" s="17">
        <f>IFERROR(SUM('Data Sheet'!H26:K26),0)</f>
        <v>20431.400000000001</v>
      </c>
    </row>
    <row r="26" spans="2:13" x14ac:dyDescent="0.25">
      <c r="B26" s="14" t="s">
        <v>67</v>
      </c>
      <c r="C26" s="16">
        <f>C25/C7</f>
        <v>3.8244841007564076E-2</v>
      </c>
      <c r="D26" s="16">
        <f t="shared" ref="D26:M26" si="8">D25/D7</f>
        <v>3.4579886579776321E-2</v>
      </c>
      <c r="E26" s="16">
        <f t="shared" si="8"/>
        <v>3.5097625728344288E-2</v>
      </c>
      <c r="F26" s="16">
        <f t="shared" si="8"/>
        <v>4.663494581020354E-2</v>
      </c>
      <c r="G26" s="16">
        <f t="shared" si="8"/>
        <v>4.3115159438413E-2</v>
      </c>
      <c r="H26" s="16">
        <f t="shared" si="8"/>
        <v>3.1574847899576361E-2</v>
      </c>
      <c r="I26" s="16">
        <f t="shared" si="8"/>
        <v>2.4033926647064375E-2</v>
      </c>
      <c r="J26" s="16">
        <f t="shared" si="8"/>
        <v>3.7049673547246476E-2</v>
      </c>
      <c r="K26" s="16">
        <f t="shared" si="8"/>
        <v>3.6675756802887913E-2</v>
      </c>
      <c r="L26" s="16">
        <f t="shared" si="8"/>
        <v>3.6776386131052392E-2</v>
      </c>
      <c r="M26" s="16">
        <f t="shared" si="8"/>
        <v>0.11145453751991098</v>
      </c>
    </row>
    <row r="28" spans="2:13" x14ac:dyDescent="0.25">
      <c r="B28" s="28" t="s">
        <v>69</v>
      </c>
      <c r="C28" s="29">
        <f>IFERROR(C19-SUM(C25,C22),0)</f>
        <v>57213.399999999994</v>
      </c>
      <c r="D28" s="29">
        <f t="shared" ref="D28:M28" si="9">IFERROR(D19-SUM(D25,D22),0)</f>
        <v>67323.899999999994</v>
      </c>
      <c r="E28" s="29">
        <f t="shared" si="9"/>
        <v>71278.5</v>
      </c>
      <c r="F28" s="29">
        <f t="shared" si="9"/>
        <v>60650</v>
      </c>
      <c r="G28" s="29">
        <f t="shared" si="9"/>
        <v>57213.69999999999</v>
      </c>
      <c r="H28" s="29">
        <f t="shared" si="9"/>
        <v>73784.3</v>
      </c>
      <c r="I28" s="29">
        <f t="shared" si="9"/>
        <v>100022.6</v>
      </c>
      <c r="J28" s="29">
        <f t="shared" si="9"/>
        <v>120158.70000000003</v>
      </c>
      <c r="K28" s="29">
        <f t="shared" si="9"/>
        <v>130932.4</v>
      </c>
      <c r="L28" s="29">
        <f t="shared" si="9"/>
        <v>156101</v>
      </c>
      <c r="M28" s="29">
        <f t="shared" si="9"/>
        <v>162071.1</v>
      </c>
    </row>
    <row r="29" spans="2:13" x14ac:dyDescent="0.25">
      <c r="B29" s="14" t="s">
        <v>70</v>
      </c>
      <c r="C29" s="16">
        <f>C28/C7</f>
        <v>0.84032312550488353</v>
      </c>
      <c r="D29" s="16">
        <f t="shared" ref="D29:M29" si="10">D28/D7</f>
        <v>0.84355852819342081</v>
      </c>
      <c r="E29" s="16">
        <f t="shared" si="10"/>
        <v>0.82816012826992458</v>
      </c>
      <c r="F29" s="16">
        <f t="shared" si="10"/>
        <v>0.80161247687020887</v>
      </c>
      <c r="G29" s="16">
        <f t="shared" si="10"/>
        <v>0.81301796168930807</v>
      </c>
      <c r="H29" s="16">
        <f t="shared" si="10"/>
        <v>0.83532737535916535</v>
      </c>
      <c r="I29" s="16">
        <f t="shared" si="10"/>
        <v>0.85073993398048675</v>
      </c>
      <c r="J29" s="16">
        <f t="shared" si="10"/>
        <v>0.84703386903259748</v>
      </c>
      <c r="K29" s="16">
        <f t="shared" si="10"/>
        <v>0.8562542099102104</v>
      </c>
      <c r="L29" s="16">
        <f t="shared" si="10"/>
        <v>0.85154050928451419</v>
      </c>
      <c r="M29" s="16">
        <f t="shared" si="10"/>
        <v>0.88410777018918152</v>
      </c>
    </row>
    <row r="31" spans="2:13" x14ac:dyDescent="0.25">
      <c r="B31" t="s">
        <v>24</v>
      </c>
      <c r="C31" s="17">
        <f>IFERROR('Data Sheet'!B29,0)</f>
        <v>2616.1999999999998</v>
      </c>
      <c r="D31" s="17">
        <f>IFERROR('Data Sheet'!C29,0)</f>
        <v>3286.2</v>
      </c>
      <c r="E31" s="17">
        <f>IFERROR('Data Sheet'!D29,0)</f>
        <v>2973.2</v>
      </c>
      <c r="F31" s="17">
        <f>IFERROR('Data Sheet'!E29,0)</f>
        <v>1425.2</v>
      </c>
      <c r="G31" s="17">
        <f>IFERROR('Data Sheet'!F29,0)</f>
        <v>931.9</v>
      </c>
      <c r="H31" s="17">
        <f>IFERROR('Data Sheet'!G29,0)</f>
        <v>817.7</v>
      </c>
      <c r="I31" s="17">
        <f>IFERROR('Data Sheet'!H29,0)</f>
        <v>2112.1</v>
      </c>
      <c r="J31" s="17">
        <f>IFERROR('Data Sheet'!I29,0)</f>
        <v>3936.3</v>
      </c>
      <c r="K31" s="17">
        <f>IFERROR('Data Sheet'!J29,0)</f>
        <v>5119.8</v>
      </c>
      <c r="L31" s="17">
        <f>IFERROR('Data Sheet'!K29,0)</f>
        <v>4439</v>
      </c>
      <c r="M31" s="17">
        <f>IFERROR(SUM('Data Sheet'!H48:K48),0)</f>
        <v>4439</v>
      </c>
    </row>
    <row r="32" spans="2:13" x14ac:dyDescent="0.25">
      <c r="B32" s="14" t="s">
        <v>71</v>
      </c>
      <c r="C32" s="16">
        <f>C31/C28</f>
        <v>4.5727049956828296E-2</v>
      </c>
      <c r="D32" s="16">
        <f t="shared" ref="D32:M32" si="11">D31/D28</f>
        <v>4.881178897835687E-2</v>
      </c>
      <c r="E32" s="16">
        <f t="shared" si="11"/>
        <v>4.1712437831884788E-2</v>
      </c>
      <c r="F32" s="16">
        <f t="shared" si="11"/>
        <v>2.349876339653751E-2</v>
      </c>
      <c r="G32" s="16">
        <f t="shared" si="11"/>
        <v>1.6288056881481185E-2</v>
      </c>
      <c r="H32" s="16">
        <f t="shared" si="11"/>
        <v>1.1082303416851553E-2</v>
      </c>
      <c r="I32" s="16">
        <f t="shared" si="11"/>
        <v>2.1116227732532446E-2</v>
      </c>
      <c r="J32" s="16">
        <f t="shared" si="11"/>
        <v>3.2759175989753545E-2</v>
      </c>
      <c r="K32" s="16">
        <f t="shared" si="11"/>
        <v>3.9102620894446299E-2</v>
      </c>
      <c r="L32" s="16">
        <f t="shared" si="11"/>
        <v>2.8436717253573007E-2</v>
      </c>
      <c r="M32" s="16">
        <f t="shared" si="11"/>
        <v>2.7389213746312573E-2</v>
      </c>
    </row>
    <row r="34" spans="2:13" x14ac:dyDescent="0.25">
      <c r="B34" s="28" t="s">
        <v>72</v>
      </c>
      <c r="C34" s="29">
        <f>IFERROR(C28-C31,0)</f>
        <v>54597.2</v>
      </c>
      <c r="D34" s="29">
        <f t="shared" ref="D34:M34" si="12">IFERROR(D28-D31,0)</f>
        <v>64037.7</v>
      </c>
      <c r="E34" s="29">
        <f t="shared" si="12"/>
        <v>68305.3</v>
      </c>
      <c r="F34" s="29">
        <f t="shared" si="12"/>
        <v>59224.800000000003</v>
      </c>
      <c r="G34" s="29">
        <f t="shared" si="12"/>
        <v>56281.799999999988</v>
      </c>
      <c r="H34" s="29">
        <f t="shared" si="12"/>
        <v>72966.600000000006</v>
      </c>
      <c r="I34" s="29">
        <f t="shared" si="12"/>
        <v>97910.5</v>
      </c>
      <c r="J34" s="29">
        <f t="shared" si="12"/>
        <v>116222.40000000002</v>
      </c>
      <c r="K34" s="29">
        <f t="shared" si="12"/>
        <v>125812.59999999999</v>
      </c>
      <c r="L34" s="29">
        <f t="shared" si="12"/>
        <v>151662</v>
      </c>
      <c r="M34" s="29">
        <f t="shared" si="12"/>
        <v>157632.1</v>
      </c>
    </row>
    <row r="35" spans="2:13" x14ac:dyDescent="0.25">
      <c r="B35" s="14" t="s">
        <v>73</v>
      </c>
      <c r="C35" s="16">
        <f>C34/C7</f>
        <v>0.8018976279650436</v>
      </c>
      <c r="D35" s="16">
        <f t="shared" ref="D35:M35" si="13">D34/D7</f>
        <v>0.80238292732435024</v>
      </c>
      <c r="E35" s="16">
        <f t="shared" si="13"/>
        <v>0.79361555040461962</v>
      </c>
      <c r="F35" s="16">
        <f t="shared" si="13"/>
        <v>0.78277557494052341</v>
      </c>
      <c r="G35" s="16">
        <f t="shared" si="13"/>
        <v>0.79977547888364675</v>
      </c>
      <c r="H35" s="16">
        <f t="shared" si="13"/>
        <v>0.82607002393303286</v>
      </c>
      <c r="I35" s="16">
        <f t="shared" si="13"/>
        <v>0.83277551579339515</v>
      </c>
      <c r="J35" s="16">
        <f t="shared" si="13"/>
        <v>0.81928573744767674</v>
      </c>
      <c r="K35" s="16">
        <f t="shared" si="13"/>
        <v>0.82277242615081769</v>
      </c>
      <c r="L35" s="16">
        <f t="shared" si="13"/>
        <v>0.82732549259202692</v>
      </c>
      <c r="M35" s="16">
        <f t="shared" si="13"/>
        <v>0.85989275349669425</v>
      </c>
    </row>
    <row r="37" spans="2:13" x14ac:dyDescent="0.25">
      <c r="B37" t="s">
        <v>43</v>
      </c>
      <c r="C37" s="17">
        <f>IFERROR('Data Sheet'!B93, 0)</f>
        <v>30.21</v>
      </c>
      <c r="D37" s="17">
        <f>IFERROR('Data Sheet'!C93, 0)</f>
        <v>30.21</v>
      </c>
      <c r="E37" s="17">
        <f>IFERROR('Data Sheet'!D93, 0)</f>
        <v>30.21</v>
      </c>
      <c r="F37" s="17">
        <f>IFERROR('Data Sheet'!E93, 0)</f>
        <v>30.21</v>
      </c>
      <c r="G37" s="17">
        <f>IFERROR('Data Sheet'!F93, 0)</f>
        <v>30.21</v>
      </c>
      <c r="H37" s="17">
        <f>IFERROR('Data Sheet'!G93, 0)</f>
        <v>30.21</v>
      </c>
      <c r="I37" s="17">
        <f>IFERROR('Data Sheet'!H93, 0)</f>
        <v>30.21</v>
      </c>
      <c r="J37" s="17">
        <f>IFERROR('Data Sheet'!I93, 0)</f>
        <v>31.44</v>
      </c>
      <c r="K37" s="17">
        <f>IFERROR('Data Sheet'!J93, 0)</f>
        <v>31.44</v>
      </c>
      <c r="L37" s="17">
        <f>IFERROR('Data Sheet'!K93, 0)</f>
        <v>31.44</v>
      </c>
      <c r="M37" s="17">
        <f>IFERROR('Data Sheet'!L93, 0)</f>
        <v>0</v>
      </c>
    </row>
    <row r="38" spans="2:13" x14ac:dyDescent="0.25"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2:13" x14ac:dyDescent="0.25">
      <c r="B39" t="s">
        <v>74</v>
      </c>
      <c r="C39" s="17">
        <f>IFERROR(C34/C37,0)</f>
        <v>1807.2558755379011</v>
      </c>
      <c r="D39" s="17">
        <f t="shared" ref="D39:M39" si="14">IFERROR(D34/D37,0)</f>
        <v>2119.7517378351536</v>
      </c>
      <c r="E39" s="17">
        <f t="shared" si="14"/>
        <v>2261.0162197947698</v>
      </c>
      <c r="F39" s="17">
        <f t="shared" si="14"/>
        <v>1960.4369414101291</v>
      </c>
      <c r="G39" s="17">
        <f t="shared" si="14"/>
        <v>1863.018867924528</v>
      </c>
      <c r="H39" s="17">
        <f t="shared" si="14"/>
        <v>2415.3128103277063</v>
      </c>
      <c r="I39" s="17">
        <f t="shared" si="14"/>
        <v>3240.9963588215824</v>
      </c>
      <c r="J39" s="17">
        <f t="shared" si="14"/>
        <v>3696.6412213740464</v>
      </c>
      <c r="K39" s="17">
        <f t="shared" si="14"/>
        <v>4001.6730279898215</v>
      </c>
      <c r="L39" s="17">
        <f t="shared" si="14"/>
        <v>4823.8549618320612</v>
      </c>
      <c r="M39" s="17">
        <f t="shared" si="14"/>
        <v>0</v>
      </c>
    </row>
    <row r="40" spans="2:13" x14ac:dyDescent="0.25">
      <c r="B40" s="14" t="s">
        <v>76</v>
      </c>
      <c r="C40" s="16"/>
      <c r="D40" s="16">
        <f>IFERROR(D39/C39-1,0)</f>
        <v>0.17291179767460596</v>
      </c>
      <c r="E40" s="16">
        <f t="shared" ref="E40:F40" si="15">IFERROR(E39/D39-1,0)</f>
        <v>6.6641993700585767E-2</v>
      </c>
      <c r="F40" s="16">
        <f t="shared" si="15"/>
        <v>-0.13293990363851704</v>
      </c>
      <c r="G40" s="16">
        <f t="shared" ref="G40" si="16">IFERROR(G39/F39-1,0)</f>
        <v>-4.9692020910159451E-2</v>
      </c>
      <c r="H40" s="16">
        <f t="shared" ref="H40" si="17">IFERROR(H39/G39-1,0)</f>
        <v>0.29645107299340134</v>
      </c>
      <c r="I40" s="16">
        <f t="shared" ref="I40" si="18">IFERROR(I39/H39-1,0)</f>
        <v>0.34185367003533118</v>
      </c>
      <c r="J40" s="16">
        <f t="shared" ref="J40" si="19">IFERROR(J39/I39-1,0)</f>
        <v>0.14058789708672648</v>
      </c>
      <c r="K40" s="16">
        <f t="shared" ref="K40" si="20">IFERROR(K39/J39-1,0)</f>
        <v>8.2515934966064908E-2</v>
      </c>
      <c r="L40" s="16">
        <f t="shared" ref="L40" si="21">IFERROR(L39/K39-1,0)</f>
        <v>0.20545954856667792</v>
      </c>
      <c r="M40" s="16">
        <f t="shared" ref="M40" si="22">IFERROR(M39/L39-1,0)</f>
        <v>-1</v>
      </c>
    </row>
    <row r="42" spans="2:13" x14ac:dyDescent="0.25">
      <c r="B42" t="s">
        <v>75</v>
      </c>
      <c r="C42" s="17">
        <f>IFERROR('Data Sheet'!B31/'Historical FS'!C37, 0)</f>
        <v>74.975173783515388</v>
      </c>
      <c r="D42" s="17">
        <f>IFERROR('Data Sheet'!C31/'Historical FS'!D37, 0)</f>
        <v>79.973518702416413</v>
      </c>
      <c r="E42" s="17">
        <f>IFERROR('Data Sheet'!D31/'Historical FS'!E37, 0)</f>
        <v>79.973518702416413</v>
      </c>
      <c r="F42" s="17">
        <f>IFERROR('Data Sheet'!E31/'Historical FS'!F37, 0)</f>
        <v>59.98013902681231</v>
      </c>
      <c r="G42" s="17">
        <f>IFERROR('Data Sheet'!F31/'Historical FS'!G37, 0)</f>
        <v>44.985104270109233</v>
      </c>
      <c r="H42" s="17">
        <f>IFERROR('Data Sheet'!G31/'Historical FS'!H37, 0)</f>
        <v>59.98013902681231</v>
      </c>
      <c r="I42" s="17">
        <f>IFERROR('Data Sheet'!H31/'Historical FS'!I37, 0)</f>
        <v>89.970208540218465</v>
      </c>
      <c r="J42" s="17">
        <f>IFERROR('Data Sheet'!I31/'Historical FS'!J37, 0)</f>
        <v>125</v>
      </c>
      <c r="K42" s="17">
        <f>IFERROR('Data Sheet'!J31/'Historical FS'!K37, 0)</f>
        <v>134.99999999999997</v>
      </c>
      <c r="L42" s="17">
        <f>IFERROR('Data Sheet'!K31/'Historical FS'!L37, 0)</f>
        <v>140</v>
      </c>
      <c r="M42" s="17">
        <f>IFERROR('Data Sheet'!L31/'Historical FS'!M37, 0)</f>
        <v>0</v>
      </c>
    </row>
    <row r="43" spans="2:13" x14ac:dyDescent="0.25">
      <c r="B43" s="14" t="s">
        <v>77</v>
      </c>
      <c r="C43" s="16">
        <f>IFERROR(C42/C39,0)</f>
        <v>4.1485643952437125E-2</v>
      </c>
      <c r="D43" s="16">
        <f t="shared" ref="D43:M43" si="23">IFERROR(D42/D39,0)</f>
        <v>3.7727775981960629E-2</v>
      </c>
      <c r="E43" s="16">
        <f t="shared" si="23"/>
        <v>3.537060813728949E-2</v>
      </c>
      <c r="F43" s="16">
        <f t="shared" si="23"/>
        <v>3.0595291161810593E-2</v>
      </c>
      <c r="G43" s="16">
        <f t="shared" si="23"/>
        <v>2.4146349263882819E-2</v>
      </c>
      <c r="H43" s="16">
        <f t="shared" si="23"/>
        <v>2.4833279884220995E-2</v>
      </c>
      <c r="I43" s="16">
        <f t="shared" si="23"/>
        <v>2.7760046164609514E-2</v>
      </c>
      <c r="J43" s="16">
        <f t="shared" si="23"/>
        <v>3.3814479824887451E-2</v>
      </c>
      <c r="K43" s="16">
        <f t="shared" si="23"/>
        <v>3.373588972805585E-2</v>
      </c>
      <c r="L43" s="16">
        <f t="shared" si="23"/>
        <v>2.902243145942952E-2</v>
      </c>
      <c r="M43" s="16">
        <f t="shared" si="23"/>
        <v>0</v>
      </c>
    </row>
    <row r="45" spans="2:13" x14ac:dyDescent="0.25">
      <c r="B45" t="s">
        <v>78</v>
      </c>
      <c r="C45" s="23">
        <f>IFERROR(1-C43,0)</f>
        <v>0.95851435604756285</v>
      </c>
      <c r="D45" s="23">
        <f t="shared" ref="D45:M45" si="24">IFERROR(1-D43,0)</f>
        <v>0.96227222401803936</v>
      </c>
      <c r="E45" s="23">
        <f t="shared" si="24"/>
        <v>0.96462939186271046</v>
      </c>
      <c r="F45" s="23">
        <f t="shared" si="24"/>
        <v>0.96940470883818941</v>
      </c>
      <c r="G45" s="23">
        <f t="shared" si="24"/>
        <v>0.97585365073611718</v>
      </c>
      <c r="H45" s="23">
        <f t="shared" si="24"/>
        <v>0.97516672011577898</v>
      </c>
      <c r="I45" s="23">
        <f t="shared" si="24"/>
        <v>0.97223995383539052</v>
      </c>
      <c r="J45" s="23">
        <f t="shared" si="24"/>
        <v>0.9661855201751125</v>
      </c>
      <c r="K45" s="23">
        <f t="shared" si="24"/>
        <v>0.96626411027194414</v>
      </c>
      <c r="L45" s="23">
        <f t="shared" si="24"/>
        <v>0.97097756854057049</v>
      </c>
      <c r="M45" s="23">
        <f t="shared" si="24"/>
        <v>1</v>
      </c>
    </row>
    <row r="49" spans="1:14" x14ac:dyDescent="0.25">
      <c r="A49" s="8" t="s">
        <v>56</v>
      </c>
      <c r="B49" s="22" t="s">
        <v>79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</row>
    <row r="50" spans="1:14" x14ac:dyDescent="0.25">
      <c r="B50" t="s">
        <v>31</v>
      </c>
      <c r="C50" s="17">
        <f>IFERROR('Data Sheet'!B57, 0)</f>
        <v>151</v>
      </c>
      <c r="D50" s="17">
        <f>IFERROR('Data Sheet'!C57, 0)</f>
        <v>151</v>
      </c>
      <c r="E50" s="17">
        <f>IFERROR('Data Sheet'!D57, 0)</f>
        <v>151</v>
      </c>
      <c r="F50" s="17">
        <f>IFERROR('Data Sheet'!E57, 0)</f>
        <v>151</v>
      </c>
      <c r="G50" s="17">
        <f>IFERROR('Data Sheet'!F57, 0)</f>
        <v>151</v>
      </c>
      <c r="H50" s="17">
        <f>IFERROR('Data Sheet'!G57, 0)</f>
        <v>151</v>
      </c>
      <c r="I50" s="17">
        <f>IFERROR('Data Sheet'!H57, 0)</f>
        <v>151</v>
      </c>
      <c r="J50" s="17">
        <f>IFERROR('Data Sheet'!I57, 0)</f>
        <v>157.19999999999999</v>
      </c>
      <c r="K50" s="17">
        <f>IFERROR('Data Sheet'!J57, 0)</f>
        <v>157.19999999999999</v>
      </c>
      <c r="L50" s="17">
        <f>IFERROR('Data Sheet'!K57, 0)</f>
        <v>157.19999999999999</v>
      </c>
    </row>
    <row r="51" spans="1:14" x14ac:dyDescent="0.25">
      <c r="B51" t="s">
        <v>32</v>
      </c>
      <c r="C51" s="17">
        <f>IFERROR('Data Sheet'!B58, 0)</f>
        <v>36924.1</v>
      </c>
      <c r="D51" s="17">
        <f>IFERROR('Data Sheet'!C58, 0)</f>
        <v>42408.4</v>
      </c>
      <c r="E51" s="17">
        <f>IFERROR('Data Sheet'!D58, 0)</f>
        <v>46941.1</v>
      </c>
      <c r="F51" s="17">
        <f>IFERROR('Data Sheet'!E58, 0)</f>
        <v>49262</v>
      </c>
      <c r="G51" s="17">
        <f>IFERROR('Data Sheet'!F58, 0)</f>
        <v>52349.599999999999</v>
      </c>
      <c r="H51" s="17">
        <f>IFERROR('Data Sheet'!G58, 0)</f>
        <v>55182.5</v>
      </c>
      <c r="I51" s="17">
        <f>IFERROR('Data Sheet'!H58, 0)</f>
        <v>61640.3</v>
      </c>
      <c r="J51" s="17">
        <f>IFERROR('Data Sheet'!I58, 0)</f>
        <v>85478.8</v>
      </c>
      <c r="K51" s="17">
        <f>IFERROR('Data Sheet'!J58, 0)</f>
        <v>96082.7</v>
      </c>
      <c r="L51" s="17">
        <f>IFERROR('Data Sheet'!K58, 0)</f>
        <v>106999.1</v>
      </c>
    </row>
    <row r="52" spans="1:14" x14ac:dyDescent="0.25">
      <c r="B52" t="s">
        <v>33</v>
      </c>
      <c r="C52" s="17">
        <f>IFERROR('Data Sheet'!B59, 0)</f>
        <v>483.6</v>
      </c>
      <c r="D52" s="17">
        <f>IFERROR('Data Sheet'!C59, 0)</f>
        <v>120.8</v>
      </c>
      <c r="E52" s="17">
        <f>IFERROR('Data Sheet'!D59, 0)</f>
        <v>159.6</v>
      </c>
      <c r="F52" s="17">
        <f>IFERROR('Data Sheet'!E59, 0)</f>
        <v>184.1</v>
      </c>
      <c r="G52" s="17">
        <f>IFERROR('Data Sheet'!F59, 0)</f>
        <v>540.9</v>
      </c>
      <c r="H52" s="17">
        <f>IFERROR('Data Sheet'!G59, 0)</f>
        <v>425.5</v>
      </c>
      <c r="I52" s="17">
        <f>IFERROR('Data Sheet'!H59, 0)</f>
        <v>1247.3</v>
      </c>
      <c r="J52" s="17">
        <f>IFERROR('Data Sheet'!I59, 0)</f>
        <v>118.6</v>
      </c>
      <c r="K52" s="17">
        <f>IFERROR('Data Sheet'!J59, 0)</f>
        <v>87</v>
      </c>
      <c r="L52" s="17">
        <f>IFERROR('Data Sheet'!K59, 0)</f>
        <v>102.5</v>
      </c>
    </row>
    <row r="53" spans="1:14" x14ac:dyDescent="0.25">
      <c r="B53" t="s">
        <v>34</v>
      </c>
      <c r="C53" s="17">
        <f>IFERROR('Data Sheet'!B60, 0)</f>
        <v>14401.8</v>
      </c>
      <c r="D53" s="17">
        <f>IFERROR('Data Sheet'!C60, 0)</f>
        <v>17568.2</v>
      </c>
      <c r="E53" s="17">
        <f>IFERROR('Data Sheet'!D60, 0)</f>
        <v>16717</v>
      </c>
      <c r="F53" s="17">
        <f>IFERROR('Data Sheet'!E60, 0)</f>
        <v>14030.6</v>
      </c>
      <c r="G53" s="17">
        <f>IFERROR('Data Sheet'!F60, 0)</f>
        <v>18334.599999999999</v>
      </c>
      <c r="H53" s="17">
        <f>IFERROR('Data Sheet'!G60, 0)</f>
        <v>18896.5</v>
      </c>
      <c r="I53" s="17">
        <f>IFERROR('Data Sheet'!H60, 0)</f>
        <v>21558.3</v>
      </c>
      <c r="J53" s="17">
        <f>IFERROR('Data Sheet'!I60, 0)</f>
        <v>29549.5</v>
      </c>
      <c r="K53" s="17">
        <f>IFERROR('Data Sheet'!J60, 0)</f>
        <v>35644.300000000003</v>
      </c>
      <c r="L53" s="17">
        <f>IFERROR('Data Sheet'!K60, 0)</f>
        <v>41622.199999999997</v>
      </c>
    </row>
    <row r="54" spans="1:14" x14ac:dyDescent="0.25">
      <c r="B54" s="28" t="s">
        <v>80</v>
      </c>
      <c r="C54" s="29">
        <f>IFERROR('Data Sheet'!B61, 0)</f>
        <v>51960.5</v>
      </c>
      <c r="D54" s="29">
        <f>IFERROR('Data Sheet'!C61, 0)</f>
        <v>60248.4</v>
      </c>
      <c r="E54" s="29">
        <f>IFERROR('Data Sheet'!D61, 0)</f>
        <v>63968.7</v>
      </c>
      <c r="F54" s="29">
        <f>IFERROR('Data Sheet'!E61, 0)</f>
        <v>63627.7</v>
      </c>
      <c r="G54" s="29">
        <f>IFERROR('Data Sheet'!F61, 0)</f>
        <v>71376.100000000006</v>
      </c>
      <c r="H54" s="29">
        <f>IFERROR('Data Sheet'!G61, 0)</f>
        <v>74655.5</v>
      </c>
      <c r="I54" s="29">
        <f>IFERROR('Data Sheet'!H61, 0)</f>
        <v>84596.9</v>
      </c>
      <c r="J54" s="29">
        <f>IFERROR('Data Sheet'!I61, 0)</f>
        <v>115304.1</v>
      </c>
      <c r="K54" s="29">
        <f>IFERROR('Data Sheet'!J61, 0)</f>
        <v>131971.20000000001</v>
      </c>
      <c r="L54" s="29">
        <f>IFERROR('Data Sheet'!K61, 0)</f>
        <v>148881</v>
      </c>
      <c r="M54" s="24"/>
    </row>
    <row r="56" spans="1:14" x14ac:dyDescent="0.25">
      <c r="B56" t="s">
        <v>81</v>
      </c>
      <c r="C56" s="17">
        <f>IFERROR('Data Sheet'!B62, 0)</f>
        <v>13310.7</v>
      </c>
      <c r="D56" s="17">
        <f>IFERROR('Data Sheet'!C62, 0)</f>
        <v>13388.8</v>
      </c>
      <c r="E56" s="17">
        <f>IFERROR('Data Sheet'!D62, 0)</f>
        <v>15437.3</v>
      </c>
      <c r="F56" s="17">
        <f>IFERROR('Data Sheet'!E62, 0)</f>
        <v>15744.4</v>
      </c>
      <c r="G56" s="17">
        <f>IFERROR('Data Sheet'!F62, 0)</f>
        <v>14988.7</v>
      </c>
      <c r="H56" s="17">
        <f>IFERROR('Data Sheet'!G62, 0)</f>
        <v>13747.2</v>
      </c>
      <c r="I56" s="17">
        <f>IFERROR('Data Sheet'!H62, 0)</f>
        <v>17830.400000000001</v>
      </c>
      <c r="J56" s="17">
        <f>IFERROR('Data Sheet'!I62, 0)</f>
        <v>27864.799999999999</v>
      </c>
      <c r="K56" s="17">
        <f>IFERROR('Data Sheet'!J62, 0)</f>
        <v>32982.699999999997</v>
      </c>
      <c r="L56" s="17">
        <f>IFERROR('Data Sheet'!K62, 0)</f>
        <v>34955.4</v>
      </c>
    </row>
    <row r="57" spans="1:14" x14ac:dyDescent="0.25">
      <c r="B57" t="s">
        <v>37</v>
      </c>
      <c r="C57" s="17">
        <f>IFERROR('Data Sheet'!B63, 0)</f>
        <v>1252.3</v>
      </c>
      <c r="D57" s="17">
        <f>IFERROR('Data Sheet'!C63, 0)</f>
        <v>2132.1</v>
      </c>
      <c r="E57" s="17">
        <f>IFERROR('Data Sheet'!D63, 0)</f>
        <v>1606.9</v>
      </c>
      <c r="F57" s="17">
        <f>IFERROR('Data Sheet'!E63, 0)</f>
        <v>1415.2</v>
      </c>
      <c r="G57" s="17">
        <f>IFERROR('Data Sheet'!F63, 0)</f>
        <v>1496.8</v>
      </c>
      <c r="H57" s="17">
        <f>IFERROR('Data Sheet'!G63, 0)</f>
        <v>2936.5</v>
      </c>
      <c r="I57" s="17">
        <f>IFERROR('Data Sheet'!H63, 0)</f>
        <v>2904.1</v>
      </c>
      <c r="J57" s="17">
        <f>IFERROR('Data Sheet'!I63, 0)</f>
        <v>7734.8</v>
      </c>
      <c r="K57" s="17">
        <f>IFERROR('Data Sheet'!J63, 0)</f>
        <v>7929</v>
      </c>
      <c r="L57" s="17">
        <f>IFERROR('Data Sheet'!K63, 0)</f>
        <v>9406.2000000000007</v>
      </c>
    </row>
    <row r="58" spans="1:14" x14ac:dyDescent="0.25">
      <c r="B58" t="s">
        <v>38</v>
      </c>
      <c r="C58" s="17">
        <f>IFERROR('Data Sheet'!B64, 0)</f>
        <v>29150.6</v>
      </c>
      <c r="D58" s="17">
        <f>IFERROR('Data Sheet'!C64, 0)</f>
        <v>36123.1</v>
      </c>
      <c r="E58" s="17">
        <f>IFERROR('Data Sheet'!D64, 0)</f>
        <v>37503.599999999999</v>
      </c>
      <c r="F58" s="17">
        <f>IFERROR('Data Sheet'!E64, 0)</f>
        <v>37488</v>
      </c>
      <c r="G58" s="17">
        <f>IFERROR('Data Sheet'!F64, 0)</f>
        <v>42944.800000000003</v>
      </c>
      <c r="H58" s="17">
        <f>IFERROR('Data Sheet'!G64, 0)</f>
        <v>42034.7</v>
      </c>
      <c r="I58" s="17">
        <f>IFERROR('Data Sheet'!H64, 0)</f>
        <v>49184.3</v>
      </c>
      <c r="J58" s="17">
        <f>IFERROR('Data Sheet'!I64, 0)</f>
        <v>57296</v>
      </c>
      <c r="K58" s="17">
        <f>IFERROR('Data Sheet'!J64, 0)</f>
        <v>66265.399999999994</v>
      </c>
      <c r="L58" s="17">
        <f>IFERROR('Data Sheet'!K64, 0)</f>
        <v>76838.5</v>
      </c>
    </row>
    <row r="59" spans="1:14" x14ac:dyDescent="0.25">
      <c r="B59" t="s">
        <v>39</v>
      </c>
      <c r="C59" s="17">
        <f>IFERROR('Data Sheet'!B65-SUM('Data Sheet'!B67,'Data Sheet'!B68,'Data Sheet'!B69),0)</f>
        <v>3757.1000000000004</v>
      </c>
      <c r="D59" s="17">
        <f>IFERROR('Data Sheet'!C65-SUM('Data Sheet'!C67,'Data Sheet'!C68,'Data Sheet'!C69),0)</f>
        <v>3904.7999999999993</v>
      </c>
      <c r="E59" s="17">
        <f>IFERROR('Data Sheet'!D65-SUM('Data Sheet'!D67,'Data Sheet'!D68,'Data Sheet'!D69),0)</f>
        <v>3597.7</v>
      </c>
      <c r="F59" s="17">
        <f>IFERROR('Data Sheet'!E65-SUM('Data Sheet'!E67,'Data Sheet'!E68,'Data Sheet'!E69),0)</f>
        <v>3759.5</v>
      </c>
      <c r="G59" s="17">
        <f>IFERROR('Data Sheet'!F65-SUM('Data Sheet'!F67,'Data Sheet'!F68,'Data Sheet'!F69),0)</f>
        <v>4569.7999999999993</v>
      </c>
      <c r="H59" s="17">
        <f>IFERROR('Data Sheet'!G65-SUM('Data Sheet'!G67,'Data Sheet'!G68,'Data Sheet'!G69),0)</f>
        <v>7328.1</v>
      </c>
      <c r="I59" s="17">
        <f>IFERROR('Data Sheet'!H65-SUM('Data Sheet'!H67,'Data Sheet'!H68,'Data Sheet'!H69),0)</f>
        <v>7051.6</v>
      </c>
      <c r="J59" s="17">
        <f>IFERROR('Data Sheet'!I65-SUM('Data Sheet'!I67,'Data Sheet'!I68,'Data Sheet'!I69),0)</f>
        <v>9666.1999999999989</v>
      </c>
      <c r="K59" s="17">
        <f>IFERROR('Data Sheet'!J65-SUM('Data Sheet'!J67,'Data Sheet'!J68,'Data Sheet'!J69),0)</f>
        <v>10788.3</v>
      </c>
      <c r="L59" s="17">
        <f>IFERROR('Data Sheet'!K65-SUM('Data Sheet'!K67,'Data Sheet'!K68,'Data Sheet'!K69),0)</f>
        <v>9438.3000000000029</v>
      </c>
    </row>
    <row r="60" spans="1:14" x14ac:dyDescent="0.25">
      <c r="B60" s="28" t="s">
        <v>82</v>
      </c>
      <c r="C60" s="29">
        <f>IFERROR(SUM(C56,C57,C58,C59),0)</f>
        <v>47470.7</v>
      </c>
      <c r="D60" s="29">
        <f t="shared" ref="D60:L60" si="25">IFERROR(SUM(D56,D57,D58,D59),0)</f>
        <v>55548.800000000003</v>
      </c>
      <c r="E60" s="29">
        <f t="shared" si="25"/>
        <v>58145.5</v>
      </c>
      <c r="F60" s="29">
        <f t="shared" si="25"/>
        <v>58407.1</v>
      </c>
      <c r="G60" s="29">
        <f t="shared" si="25"/>
        <v>64000.100000000006</v>
      </c>
      <c r="H60" s="29">
        <f t="shared" si="25"/>
        <v>66046.5</v>
      </c>
      <c r="I60" s="29">
        <f t="shared" si="25"/>
        <v>76970.400000000009</v>
      </c>
      <c r="J60" s="29">
        <f t="shared" si="25"/>
        <v>102561.8</v>
      </c>
      <c r="K60" s="29">
        <f t="shared" si="25"/>
        <v>117965.4</v>
      </c>
      <c r="L60" s="29">
        <f t="shared" si="25"/>
        <v>130638.40000000001</v>
      </c>
      <c r="M60" s="24"/>
    </row>
    <row r="62" spans="1:14" x14ac:dyDescent="0.25">
      <c r="B62" t="s">
        <v>40</v>
      </c>
      <c r="C62" s="17">
        <f>IFERROR('Data Sheet'!B67, 0)</f>
        <v>1202.5999999999999</v>
      </c>
      <c r="D62" s="17">
        <f>IFERROR('Data Sheet'!C67, 0)</f>
        <v>1465.4</v>
      </c>
      <c r="E62" s="17">
        <f>IFERROR('Data Sheet'!D67, 0)</f>
        <v>2312.8000000000002</v>
      </c>
      <c r="F62" s="17">
        <f>IFERROR('Data Sheet'!E67, 0)</f>
        <v>1977.7</v>
      </c>
      <c r="G62" s="17">
        <f>IFERROR('Data Sheet'!F67, 0)</f>
        <v>1279.9000000000001</v>
      </c>
      <c r="H62" s="17">
        <f>IFERROR('Data Sheet'!G67, 0)</f>
        <v>2034.5</v>
      </c>
      <c r="I62" s="17">
        <f>IFERROR('Data Sheet'!H67, 0)</f>
        <v>3301.4</v>
      </c>
      <c r="J62" s="17">
        <f>IFERROR('Data Sheet'!I67, 0)</f>
        <v>4596.8</v>
      </c>
      <c r="K62" s="17">
        <f>IFERROR('Data Sheet'!J67, 0)</f>
        <v>6539.7</v>
      </c>
      <c r="L62" s="17">
        <f>IFERROR('Data Sheet'!K67, 0)</f>
        <v>5342</v>
      </c>
    </row>
    <row r="63" spans="1:14" x14ac:dyDescent="0.25">
      <c r="B63" t="s">
        <v>41</v>
      </c>
      <c r="C63" s="17">
        <f>IFERROR('Data Sheet'!B68, 0)</f>
        <v>3263.7</v>
      </c>
      <c r="D63" s="17">
        <f>IFERROR('Data Sheet'!C68, 0)</f>
        <v>3160.2</v>
      </c>
      <c r="E63" s="17">
        <f>IFERROR('Data Sheet'!D68, 0)</f>
        <v>3322.6</v>
      </c>
      <c r="F63" s="17">
        <f>IFERROR('Data Sheet'!E68, 0)</f>
        <v>3213.9</v>
      </c>
      <c r="G63" s="17">
        <f>IFERROR('Data Sheet'!F68, 0)</f>
        <v>3049</v>
      </c>
      <c r="H63" s="17">
        <f>IFERROR('Data Sheet'!G68, 0)</f>
        <v>3532.3</v>
      </c>
      <c r="I63" s="17">
        <f>IFERROR('Data Sheet'!H68, 0)</f>
        <v>4283.5</v>
      </c>
      <c r="J63" s="17">
        <f>IFERROR('Data Sheet'!I68, 0)</f>
        <v>5318.1</v>
      </c>
      <c r="K63" s="17">
        <f>IFERROR('Data Sheet'!J68, 0)</f>
        <v>6913.2</v>
      </c>
      <c r="L63" s="17">
        <f>IFERROR('Data Sheet'!K68, 0)</f>
        <v>11320.6</v>
      </c>
    </row>
    <row r="64" spans="1:14" x14ac:dyDescent="0.25">
      <c r="B64" t="s">
        <v>42</v>
      </c>
      <c r="C64" s="17">
        <f>IFERROR('Data Sheet'!B69, 0)</f>
        <v>23.5</v>
      </c>
      <c r="D64" s="17">
        <f>IFERROR('Data Sheet'!C69, 0)</f>
        <v>74</v>
      </c>
      <c r="E64" s="17">
        <f>IFERROR('Data Sheet'!D69, 0)</f>
        <v>187.8</v>
      </c>
      <c r="F64" s="17">
        <f>IFERROR('Data Sheet'!E69, 0)</f>
        <v>29</v>
      </c>
      <c r="G64" s="17">
        <f>IFERROR('Data Sheet'!F69, 0)</f>
        <v>3047.1</v>
      </c>
      <c r="H64" s="17">
        <f>IFERROR('Data Sheet'!G69, 0)</f>
        <v>3042.2</v>
      </c>
      <c r="I64" s="17">
        <f>IFERROR('Data Sheet'!H69, 0)</f>
        <v>41.6</v>
      </c>
      <c r="J64" s="17">
        <f>IFERROR('Data Sheet'!I69, 0)</f>
        <v>2827.4</v>
      </c>
      <c r="K64" s="17">
        <f>IFERROR('Data Sheet'!J69, 0)</f>
        <v>552.9</v>
      </c>
      <c r="L64" s="17">
        <f>IFERROR('Data Sheet'!K69, 0)</f>
        <v>1580</v>
      </c>
    </row>
    <row r="65" spans="1:14" x14ac:dyDescent="0.25">
      <c r="B65" s="28" t="s">
        <v>83</v>
      </c>
      <c r="C65" s="29">
        <f>SUM(C62,C63,C64)</f>
        <v>4489.7999999999993</v>
      </c>
      <c r="D65" s="29">
        <f t="shared" ref="D65:L65" si="26">SUM(D62,D63,D64)</f>
        <v>4699.6000000000004</v>
      </c>
      <c r="E65" s="29">
        <f t="shared" si="26"/>
        <v>5823.2</v>
      </c>
      <c r="F65" s="29">
        <f t="shared" si="26"/>
        <v>5220.6000000000004</v>
      </c>
      <c r="G65" s="29">
        <f t="shared" si="26"/>
        <v>7376</v>
      </c>
      <c r="H65" s="29">
        <f t="shared" si="26"/>
        <v>8609</v>
      </c>
      <c r="I65" s="29">
        <f t="shared" si="26"/>
        <v>7626.5</v>
      </c>
      <c r="J65" s="29">
        <f t="shared" si="26"/>
        <v>12742.300000000001</v>
      </c>
      <c r="K65" s="29">
        <f t="shared" si="26"/>
        <v>14005.8</v>
      </c>
      <c r="L65" s="29">
        <f t="shared" si="26"/>
        <v>18242.599999999999</v>
      </c>
      <c r="M65" s="24"/>
    </row>
    <row r="67" spans="1:14" x14ac:dyDescent="0.25">
      <c r="B67" s="28" t="s">
        <v>84</v>
      </c>
      <c r="C67" s="29">
        <f>SUM(C60+C65)</f>
        <v>51960.5</v>
      </c>
      <c r="D67" s="29">
        <f t="shared" ref="D67:L67" si="27">SUM(D60+D65)</f>
        <v>60248.4</v>
      </c>
      <c r="E67" s="29">
        <f t="shared" si="27"/>
        <v>63968.7</v>
      </c>
      <c r="F67" s="29">
        <f t="shared" si="27"/>
        <v>63627.7</v>
      </c>
      <c r="G67" s="29">
        <f t="shared" si="27"/>
        <v>71376.100000000006</v>
      </c>
      <c r="H67" s="29">
        <f t="shared" si="27"/>
        <v>74655.5</v>
      </c>
      <c r="I67" s="29">
        <f t="shared" si="27"/>
        <v>84596.900000000009</v>
      </c>
      <c r="J67" s="29">
        <f t="shared" si="27"/>
        <v>115304.1</v>
      </c>
      <c r="K67" s="29">
        <f t="shared" si="27"/>
        <v>131971.19999999998</v>
      </c>
      <c r="L67" s="29">
        <f t="shared" si="27"/>
        <v>148881</v>
      </c>
    </row>
    <row r="69" spans="1:14" x14ac:dyDescent="0.25">
      <c r="B69" s="26" t="s">
        <v>85</v>
      </c>
      <c r="C69" s="26" t="b">
        <f>C67=C54</f>
        <v>1</v>
      </c>
      <c r="D69" s="26" t="b">
        <f t="shared" ref="D69:L69" si="28">D67=D54</f>
        <v>1</v>
      </c>
      <c r="E69" s="26" t="b">
        <f t="shared" si="28"/>
        <v>1</v>
      </c>
      <c r="F69" s="26" t="b">
        <f t="shared" si="28"/>
        <v>1</v>
      </c>
      <c r="G69" s="26" t="b">
        <f t="shared" si="28"/>
        <v>1</v>
      </c>
      <c r="H69" s="26" t="b">
        <f t="shared" si="28"/>
        <v>1</v>
      </c>
      <c r="I69" s="26" t="b">
        <f t="shared" si="28"/>
        <v>1</v>
      </c>
      <c r="J69" s="26" t="b">
        <f t="shared" si="28"/>
        <v>1</v>
      </c>
      <c r="K69" s="26" t="b">
        <f t="shared" si="28"/>
        <v>1</v>
      </c>
      <c r="L69" s="26" t="b">
        <f t="shared" si="28"/>
        <v>1</v>
      </c>
    </row>
    <row r="72" spans="1:14" x14ac:dyDescent="0.25">
      <c r="A72" s="8" t="s">
        <v>56</v>
      </c>
      <c r="B72" s="22" t="s">
        <v>110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x14ac:dyDescent="0.25">
      <c r="B73" s="24" t="s">
        <v>112</v>
      </c>
    </row>
    <row r="74" spans="1:14" x14ac:dyDescent="0.25">
      <c r="B74" t="s">
        <v>86</v>
      </c>
      <c r="C74" s="17">
        <f>IFERROR('Cash Flow'!E5, 0)</f>
        <v>10413</v>
      </c>
      <c r="D74" s="17">
        <f>IFERROR('Cash Flow'!F5, 0)</f>
        <v>12036</v>
      </c>
      <c r="E74" s="17">
        <f>IFERROR('Cash Flow'!G5, 0)</f>
        <v>11060</v>
      </c>
      <c r="F74" s="17">
        <f>IFERROR('Cash Flow'!H5, 0)</f>
        <v>7503</v>
      </c>
      <c r="G74" s="17">
        <f>IFERROR('Cash Flow'!I5, 0)</f>
        <v>5531</v>
      </c>
      <c r="H74" s="17">
        <f>IFERROR('Cash Flow'!J5, 0)</f>
        <v>5832</v>
      </c>
      <c r="I74" s="17">
        <f>IFERROR('Cash Flow'!K5, 0)</f>
        <v>11112</v>
      </c>
      <c r="J74" s="17">
        <f>IFERROR('Cash Flow'!L5, 0)</f>
        <v>18676</v>
      </c>
      <c r="K74" s="17">
        <f>IFERROR('Cash Flow'!M5, 0)</f>
        <v>20322</v>
      </c>
      <c r="L74" s="17">
        <f>IFERROR('Cash Flow'!N5, 0)</f>
        <v>21802</v>
      </c>
    </row>
    <row r="75" spans="1:14" x14ac:dyDescent="0.25">
      <c r="B75" t="s">
        <v>40</v>
      </c>
      <c r="C75" s="17">
        <f>IFERROR('Cash Flow'!E6, 0)</f>
        <v>122</v>
      </c>
      <c r="D75" s="17">
        <f>IFERROR('Cash Flow'!F6, 0)</f>
        <v>-262</v>
      </c>
      <c r="E75" s="17">
        <f>IFERROR('Cash Flow'!G6, 0)</f>
        <v>-851</v>
      </c>
      <c r="F75" s="17">
        <f>IFERROR('Cash Flow'!H6, 0)</f>
        <v>340</v>
      </c>
      <c r="G75" s="17">
        <f>IFERROR('Cash Flow'!I6, 0)</f>
        <v>696</v>
      </c>
      <c r="H75" s="17">
        <f>IFERROR('Cash Flow'!J6, 0)</f>
        <v>-764</v>
      </c>
      <c r="I75" s="17">
        <f>IFERROR('Cash Flow'!K6, 0)</f>
        <v>-1258</v>
      </c>
      <c r="J75" s="17">
        <f>IFERROR('Cash Flow'!L6, 0)</f>
        <v>-1316</v>
      </c>
      <c r="K75" s="17">
        <f>IFERROR('Cash Flow'!M6, 0)</f>
        <v>-1969</v>
      </c>
      <c r="L75" s="17">
        <f>IFERROR('Cash Flow'!N6, 0)</f>
        <v>1236</v>
      </c>
    </row>
    <row r="76" spans="1:14" x14ac:dyDescent="0.25">
      <c r="B76" t="s">
        <v>41</v>
      </c>
      <c r="C76" s="17">
        <f>IFERROR('Cash Flow'!E7, 0)</f>
        <v>-131</v>
      </c>
      <c r="D76" s="17">
        <f>IFERROR('Cash Flow'!F7, 0)</f>
        <v>104</v>
      </c>
      <c r="E76" s="17">
        <f>IFERROR('Cash Flow'!G7, 0)</f>
        <v>-162</v>
      </c>
      <c r="F76" s="17">
        <f>IFERROR('Cash Flow'!H7, 0)</f>
        <v>109</v>
      </c>
      <c r="G76" s="17">
        <f>IFERROR('Cash Flow'!I7, 0)</f>
        <v>165</v>
      </c>
      <c r="H76" s="17">
        <f>IFERROR('Cash Flow'!J7, 0)</f>
        <v>-483</v>
      </c>
      <c r="I76" s="17">
        <f>IFERROR('Cash Flow'!K7, 0)</f>
        <v>-751</v>
      </c>
      <c r="J76" s="17">
        <f>IFERROR('Cash Flow'!L7, 0)</f>
        <v>125</v>
      </c>
      <c r="K76" s="17">
        <f>IFERROR('Cash Flow'!M7, 0)</f>
        <v>-1595</v>
      </c>
      <c r="L76" s="17">
        <f>IFERROR('Cash Flow'!N7, 0)</f>
        <v>-4407</v>
      </c>
    </row>
    <row r="77" spans="1:14" x14ac:dyDescent="0.25">
      <c r="B77" t="s">
        <v>87</v>
      </c>
      <c r="C77" s="17">
        <f>IFERROR('Cash Flow'!E8, 0)</f>
        <v>979</v>
      </c>
      <c r="D77" s="17">
        <f>IFERROR('Cash Flow'!F8, 0)</f>
        <v>2128</v>
      </c>
      <c r="E77" s="17">
        <f>IFERROR('Cash Flow'!G8, 0)</f>
        <v>-858</v>
      </c>
      <c r="F77" s="17">
        <f>IFERROR('Cash Flow'!H8, 0)</f>
        <v>-2155</v>
      </c>
      <c r="G77" s="17">
        <f>IFERROR('Cash Flow'!I8, 0)</f>
        <v>2680</v>
      </c>
      <c r="H77" s="17">
        <f>IFERROR('Cash Flow'!J8, 0)</f>
        <v>-396</v>
      </c>
      <c r="I77" s="17">
        <f>IFERROR('Cash Flow'!K8, 0)</f>
        <v>2008</v>
      </c>
      <c r="J77" s="17">
        <f>IFERROR('Cash Flow'!L8, 0)</f>
        <v>3321</v>
      </c>
      <c r="K77" s="17">
        <f>IFERROR('Cash Flow'!M8, 0)</f>
        <v>3509</v>
      </c>
      <c r="L77" s="17">
        <f>IFERROR('Cash Flow'!N8, 0)</f>
        <v>5194</v>
      </c>
    </row>
    <row r="78" spans="1:14" x14ac:dyDescent="0.25">
      <c r="B78" t="s">
        <v>88</v>
      </c>
      <c r="C78" s="17">
        <f>IFERROR('Cash Flow'!E9, 0)</f>
        <v>1</v>
      </c>
      <c r="D78" s="17">
        <f>IFERROR('Cash Flow'!F9, 0)</f>
        <v>0</v>
      </c>
      <c r="E78" s="17">
        <f>IFERROR('Cash Flow'!G9, 0)</f>
        <v>-13</v>
      </c>
      <c r="F78" s="17">
        <f>IFERROR('Cash Flow'!H9, 0)</f>
        <v>-1</v>
      </c>
      <c r="G78" s="17">
        <f>IFERROR('Cash Flow'!I9, 0)</f>
        <v>-6</v>
      </c>
      <c r="H78" s="17">
        <f>IFERROR('Cash Flow'!J9, 0)</f>
        <v>-8</v>
      </c>
      <c r="I78" s="17">
        <f>IFERROR('Cash Flow'!K9, 0)</f>
        <v>1</v>
      </c>
      <c r="J78" s="17">
        <f>IFERROR('Cash Flow'!L9, 0)</f>
        <v>-3</v>
      </c>
      <c r="K78" s="17">
        <f>IFERROR('Cash Flow'!M9, 0)</f>
        <v>-10</v>
      </c>
      <c r="L78" s="17">
        <f>IFERROR('Cash Flow'!N9, 0)</f>
        <v>-1</v>
      </c>
    </row>
    <row r="79" spans="1:14" x14ac:dyDescent="0.25">
      <c r="B79" t="s">
        <v>89</v>
      </c>
      <c r="C79" s="17">
        <f>IFERROR('Cash Flow'!E10, 0)</f>
        <v>1222</v>
      </c>
      <c r="D79" s="17">
        <f>IFERROR('Cash Flow'!F10, 0)</f>
        <v>839</v>
      </c>
      <c r="E79" s="17">
        <f>IFERROR('Cash Flow'!G10, 0)</f>
        <v>569</v>
      </c>
      <c r="F79" s="17">
        <f>IFERROR('Cash Flow'!H10, 0)</f>
        <v>-863</v>
      </c>
      <c r="G79" s="17">
        <f>IFERROR('Cash Flow'!I10, 0)</f>
        <v>801</v>
      </c>
      <c r="H79" s="17">
        <f>IFERROR('Cash Flow'!J10, 0)</f>
        <v>-1162</v>
      </c>
      <c r="I79" s="17">
        <f>IFERROR('Cash Flow'!K10, 0)</f>
        <v>374</v>
      </c>
      <c r="J79" s="17">
        <f>IFERROR('Cash Flow'!L10, 0)</f>
        <v>-406</v>
      </c>
      <c r="K79" s="17">
        <f>IFERROR('Cash Flow'!M10, 0)</f>
        <v>-313</v>
      </c>
      <c r="L79" s="17">
        <f>IFERROR('Cash Flow'!N10, 0)</f>
        <v>-387</v>
      </c>
    </row>
    <row r="80" spans="1:14" x14ac:dyDescent="0.25">
      <c r="B80" t="s">
        <v>90</v>
      </c>
      <c r="C80" s="17">
        <f>IFERROR('Cash Flow'!E11, 0)</f>
        <v>2192</v>
      </c>
      <c r="D80" s="17">
        <f>IFERROR('Cash Flow'!F11, 0)</f>
        <v>2808</v>
      </c>
      <c r="E80" s="17">
        <f>IFERROR('Cash Flow'!G11, 0)</f>
        <v>-1315</v>
      </c>
      <c r="F80" s="17">
        <f>IFERROR('Cash Flow'!H11, 0)</f>
        <v>-2570</v>
      </c>
      <c r="G80" s="17">
        <f>IFERROR('Cash Flow'!I11, 0)</f>
        <v>4336</v>
      </c>
      <c r="H80" s="17">
        <f>IFERROR('Cash Flow'!J11, 0)</f>
        <v>-2813</v>
      </c>
      <c r="I80" s="17">
        <f>IFERROR('Cash Flow'!K11, 0)</f>
        <v>373</v>
      </c>
      <c r="J80" s="17">
        <f>IFERROR('Cash Flow'!L11, 0)</f>
        <v>1722</v>
      </c>
      <c r="K80" s="17">
        <f>IFERROR('Cash Flow'!M11, 0)</f>
        <v>-378</v>
      </c>
      <c r="L80" s="17">
        <f>IFERROR('Cash Flow'!N11, 0)</f>
        <v>1635</v>
      </c>
    </row>
    <row r="81" spans="2:12" x14ac:dyDescent="0.25">
      <c r="B81" t="s">
        <v>91</v>
      </c>
      <c r="C81" s="17">
        <f>IFERROR('Cash Flow'!E12, 0)</f>
        <v>-2323</v>
      </c>
      <c r="D81" s="17">
        <f>IFERROR('Cash Flow'!F12, 0)</f>
        <v>-3056</v>
      </c>
      <c r="E81" s="17">
        <f>IFERROR('Cash Flow'!G12, 0)</f>
        <v>-3144</v>
      </c>
      <c r="F81" s="17">
        <f>IFERROR('Cash Flow'!H12, 0)</f>
        <v>-1438</v>
      </c>
      <c r="G81" s="17">
        <f>IFERROR('Cash Flow'!I12, 0)</f>
        <v>-1011</v>
      </c>
      <c r="H81" s="17">
        <f>IFERROR('Cash Flow'!J12, 0)</f>
        <v>-1178</v>
      </c>
      <c r="I81" s="17">
        <f>IFERROR('Cash Flow'!K12, 0)</f>
        <v>-2233</v>
      </c>
      <c r="J81" s="17">
        <f>IFERROR('Cash Flow'!L12, 0)</f>
        <v>-3597</v>
      </c>
      <c r="K81" s="17">
        <f>IFERROR('Cash Flow'!M12, 0)</f>
        <v>-3807</v>
      </c>
      <c r="L81" s="17">
        <f>IFERROR('Cash Flow'!N12, 0)</f>
        <v>-4337</v>
      </c>
    </row>
    <row r="82" spans="2:12" x14ac:dyDescent="0.25">
      <c r="B82" s="24" t="s">
        <v>111</v>
      </c>
      <c r="C82" s="25">
        <f>SUM(C74:C81)</f>
        <v>12475</v>
      </c>
      <c r="D82" s="25">
        <f t="shared" ref="D82:L82" si="29">SUM(D74:D81)</f>
        <v>14597</v>
      </c>
      <c r="E82" s="25">
        <f t="shared" si="29"/>
        <v>5286</v>
      </c>
      <c r="F82" s="25">
        <f t="shared" si="29"/>
        <v>925</v>
      </c>
      <c r="G82" s="25">
        <f t="shared" si="29"/>
        <v>13192</v>
      </c>
      <c r="H82" s="25">
        <f t="shared" si="29"/>
        <v>-972</v>
      </c>
      <c r="I82" s="25">
        <f t="shared" si="29"/>
        <v>9626</v>
      </c>
      <c r="J82" s="25">
        <f t="shared" si="29"/>
        <v>18522</v>
      </c>
      <c r="K82" s="25">
        <f t="shared" si="29"/>
        <v>15759</v>
      </c>
      <c r="L82" s="25">
        <f t="shared" si="29"/>
        <v>20735</v>
      </c>
    </row>
    <row r="84" spans="2:12" x14ac:dyDescent="0.25">
      <c r="B84" s="24" t="s">
        <v>113</v>
      </c>
    </row>
    <row r="85" spans="2:12" x14ac:dyDescent="0.25">
      <c r="B85" t="s">
        <v>92</v>
      </c>
      <c r="C85" s="17">
        <f>IFERROR('Cash Flow'!E14, 0)</f>
        <v>-3391</v>
      </c>
      <c r="D85" s="17">
        <f>IFERROR('Cash Flow'!F14, 0)</f>
        <v>-3912</v>
      </c>
      <c r="E85" s="17">
        <f>IFERROR('Cash Flow'!G14, 0)</f>
        <v>-4872</v>
      </c>
      <c r="F85" s="17">
        <f>IFERROR('Cash Flow'!H14, 0)</f>
        <v>-3437</v>
      </c>
      <c r="G85" s="17">
        <f>IFERROR('Cash Flow'!I14, 0)</f>
        <v>-2370</v>
      </c>
      <c r="H85" s="17">
        <f>IFERROR('Cash Flow'!J14, 0)</f>
        <v>-3459</v>
      </c>
      <c r="I85" s="17">
        <f>IFERROR('Cash Flow'!K14, 0)</f>
        <v>-6347</v>
      </c>
      <c r="J85" s="17">
        <f>IFERROR('Cash Flow'!L14, 0)</f>
        <v>-9200</v>
      </c>
      <c r="K85" s="17">
        <f>IFERROR('Cash Flow'!M14, 0)</f>
        <v>-10641</v>
      </c>
      <c r="L85" s="17">
        <f>IFERROR('Cash Flow'!N14, 0)</f>
        <v>-10398</v>
      </c>
    </row>
    <row r="86" spans="2:12" x14ac:dyDescent="0.25">
      <c r="B86" t="s">
        <v>93</v>
      </c>
      <c r="C86" s="17">
        <f>IFERROR('Cash Flow'!E15, 0)</f>
        <v>16</v>
      </c>
      <c r="D86" s="17">
        <f>IFERROR('Cash Flow'!F15, 0)</f>
        <v>26</v>
      </c>
      <c r="E86" s="17">
        <f>IFERROR('Cash Flow'!G15, 0)</f>
        <v>170</v>
      </c>
      <c r="F86" s="17">
        <f>IFERROR('Cash Flow'!H15, 0)</f>
        <v>37</v>
      </c>
      <c r="G86" s="17">
        <f>IFERROR('Cash Flow'!I15, 0)</f>
        <v>42</v>
      </c>
      <c r="H86" s="17">
        <f>IFERROR('Cash Flow'!J15, 0)</f>
        <v>136</v>
      </c>
      <c r="I86" s="17">
        <f>IFERROR('Cash Flow'!K15, 0)</f>
        <v>100</v>
      </c>
      <c r="J86" s="17">
        <f>IFERROR('Cash Flow'!L15, 0)</f>
        <v>45</v>
      </c>
      <c r="K86" s="17">
        <f>IFERROR('Cash Flow'!M15, 0)</f>
        <v>38</v>
      </c>
      <c r="L86" s="17">
        <f>IFERROR('Cash Flow'!N15, 0)</f>
        <v>52</v>
      </c>
    </row>
    <row r="87" spans="2:12" x14ac:dyDescent="0.25">
      <c r="B87" t="s">
        <v>94</v>
      </c>
      <c r="C87" s="17">
        <f>IFERROR('Cash Flow'!E16, 0)</f>
        <v>-17716</v>
      </c>
      <c r="D87" s="17">
        <f>IFERROR('Cash Flow'!F16, 0)</f>
        <v>-47069</v>
      </c>
      <c r="E87" s="17">
        <f>IFERROR('Cash Flow'!G16, 0)</f>
        <v>-52957</v>
      </c>
      <c r="F87" s="17">
        <f>IFERROR('Cash Flow'!H16, 0)</f>
        <v>-44205</v>
      </c>
      <c r="G87" s="17">
        <f>IFERROR('Cash Flow'!I16, 0)</f>
        <v>-44869</v>
      </c>
      <c r="H87" s="17">
        <f>IFERROR('Cash Flow'!J16, 0)</f>
        <v>-60525</v>
      </c>
      <c r="I87" s="17">
        <f>IFERROR('Cash Flow'!K16, 0)</f>
        <v>-66597</v>
      </c>
      <c r="J87" s="17">
        <f>IFERROR('Cash Flow'!L16, 0)</f>
        <v>-65736</v>
      </c>
      <c r="K87" s="17">
        <f>IFERROR('Cash Flow'!M16, 0)</f>
        <v>-73882</v>
      </c>
      <c r="L87" s="17">
        <f>IFERROR('Cash Flow'!N16, 0)</f>
        <v>-108034</v>
      </c>
    </row>
    <row r="88" spans="2:12" x14ac:dyDescent="0.25">
      <c r="B88" t="s">
        <v>95</v>
      </c>
      <c r="C88" s="17">
        <f>IFERROR('Cash Flow'!E17, 0)</f>
        <v>11839</v>
      </c>
      <c r="D88" s="17">
        <f>IFERROR('Cash Flow'!F17, 0)</f>
        <v>42564</v>
      </c>
      <c r="E88" s="17">
        <f>IFERROR('Cash Flow'!G17, 0)</f>
        <v>53986</v>
      </c>
      <c r="F88" s="17">
        <f>IFERROR('Cash Flow'!H17, 0)</f>
        <v>46969</v>
      </c>
      <c r="G88" s="17">
        <f>IFERROR('Cash Flow'!I17, 0)</f>
        <v>42920</v>
      </c>
      <c r="H88" s="17">
        <f>IFERROR('Cash Flow'!J17, 0)</f>
        <v>63579</v>
      </c>
      <c r="I88" s="17">
        <f>IFERROR('Cash Flow'!K17, 0)</f>
        <v>61605</v>
      </c>
      <c r="J88" s="17">
        <f>IFERROR('Cash Flow'!L17, 0)</f>
        <v>61933</v>
      </c>
      <c r="K88" s="17">
        <f>IFERROR('Cash Flow'!M17, 0)</f>
        <v>69795</v>
      </c>
      <c r="L88" s="17">
        <f>IFERROR('Cash Flow'!N17, 0)</f>
        <v>101969</v>
      </c>
    </row>
    <row r="89" spans="2:12" x14ac:dyDescent="0.25">
      <c r="B89" t="s">
        <v>96</v>
      </c>
      <c r="C89" s="17">
        <f>IFERROR('Cash Flow'!E18, 0)</f>
        <v>36</v>
      </c>
      <c r="D89" s="17">
        <f>IFERROR('Cash Flow'!F18, 0)</f>
        <v>68</v>
      </c>
      <c r="E89" s="17">
        <f>IFERROR('Cash Flow'!G18, 0)</f>
        <v>124</v>
      </c>
      <c r="F89" s="17">
        <f>IFERROR('Cash Flow'!H18, 0)</f>
        <v>96</v>
      </c>
      <c r="G89" s="17">
        <f>IFERROR('Cash Flow'!I18, 0)</f>
        <v>67</v>
      </c>
      <c r="H89" s="17">
        <f>IFERROR('Cash Flow'!J18, 0)</f>
        <v>174</v>
      </c>
      <c r="I89" s="17">
        <f>IFERROR('Cash Flow'!K18, 0)</f>
        <v>194</v>
      </c>
      <c r="J89" s="17">
        <f>IFERROR('Cash Flow'!L18, 0)</f>
        <v>372</v>
      </c>
      <c r="K89" s="17">
        <f>IFERROR('Cash Flow'!M18, 0)</f>
        <v>444</v>
      </c>
      <c r="L89" s="17">
        <f>IFERROR('Cash Flow'!N18, 0)</f>
        <v>354</v>
      </c>
    </row>
    <row r="90" spans="2:12" x14ac:dyDescent="0.25">
      <c r="B90" t="s">
        <v>97</v>
      </c>
      <c r="C90" s="17">
        <f>IFERROR('Cash Flow'!E19, 0)</f>
        <v>13</v>
      </c>
      <c r="D90" s="17">
        <f>IFERROR('Cash Flow'!F19, 0)</f>
        <v>20</v>
      </c>
      <c r="E90" s="17">
        <f>IFERROR('Cash Flow'!G19, 0)</f>
        <v>9</v>
      </c>
      <c r="F90" s="17">
        <f>IFERROR('Cash Flow'!H19, 0)</f>
        <v>4</v>
      </c>
      <c r="G90" s="17">
        <f>IFERROR('Cash Flow'!I19, 0)</f>
        <v>3</v>
      </c>
      <c r="H90" s="17">
        <f>IFERROR('Cash Flow'!J19, 0)</f>
        <v>3</v>
      </c>
      <c r="I90" s="17">
        <f>IFERROR('Cash Flow'!K19, 0)</f>
        <v>6</v>
      </c>
      <c r="J90" s="17">
        <f>IFERROR('Cash Flow'!L19, 0)</f>
        <v>6</v>
      </c>
      <c r="K90" s="17">
        <f>IFERROR('Cash Flow'!M19, 0)</f>
        <v>9</v>
      </c>
      <c r="L90" s="17">
        <f>IFERROR('Cash Flow'!N19, 0)</f>
        <v>11</v>
      </c>
    </row>
    <row r="91" spans="2:12" x14ac:dyDescent="0.25">
      <c r="B91" t="s">
        <v>98</v>
      </c>
      <c r="C91" s="17">
        <f>IFERROR('Cash Flow'!E20, 0)</f>
        <v>22</v>
      </c>
      <c r="D91" s="17">
        <f>IFERROR('Cash Flow'!F20, 0)</f>
        <v>0</v>
      </c>
      <c r="E91" s="17">
        <f>IFERROR('Cash Flow'!G20, 0)</f>
        <v>0</v>
      </c>
      <c r="F91" s="17">
        <f>IFERROR('Cash Flow'!H20, 0)</f>
        <v>0</v>
      </c>
      <c r="G91" s="17">
        <f>IFERROR('Cash Flow'!I20, 0)</f>
        <v>0</v>
      </c>
      <c r="H91" s="17">
        <f>IFERROR('Cash Flow'!J20, 0)</f>
        <v>0</v>
      </c>
      <c r="I91" s="17">
        <f>IFERROR('Cash Flow'!K20, 0)</f>
        <v>0</v>
      </c>
      <c r="J91" s="17">
        <f>IFERROR('Cash Flow'!L20, 0)</f>
        <v>0</v>
      </c>
      <c r="K91" s="17">
        <f>IFERROR('Cash Flow'!M20, 0)</f>
        <v>0</v>
      </c>
      <c r="L91" s="17">
        <f>IFERROR('Cash Flow'!N20, 0)</f>
        <v>0</v>
      </c>
    </row>
    <row r="92" spans="2:12" x14ac:dyDescent="0.25">
      <c r="B92" t="s">
        <v>99</v>
      </c>
      <c r="C92" s="17">
        <f>IFERROR('Cash Flow'!E21, 0)</f>
        <v>0</v>
      </c>
      <c r="D92" s="17">
        <f>IFERROR('Cash Flow'!F21, 0)</f>
        <v>0</v>
      </c>
      <c r="E92" s="17">
        <f>IFERROR('Cash Flow'!G21, 0)</f>
        <v>0</v>
      </c>
      <c r="F92" s="17">
        <f>IFERROR('Cash Flow'!H21, 0)</f>
        <v>-15</v>
      </c>
      <c r="G92" s="17">
        <f>IFERROR('Cash Flow'!I21, 0)</f>
        <v>-65</v>
      </c>
      <c r="H92" s="17">
        <f>IFERROR('Cash Flow'!J21, 0)</f>
        <v>-146</v>
      </c>
      <c r="I92" s="17">
        <f>IFERROR('Cash Flow'!K21, 0)</f>
        <v>0</v>
      </c>
      <c r="J92" s="17">
        <f>IFERROR('Cash Flow'!L21, 0)</f>
        <v>-80</v>
      </c>
      <c r="K92" s="17">
        <f>IFERROR('Cash Flow'!M21, 0)</f>
        <v>-18</v>
      </c>
      <c r="L92" s="17">
        <f>IFERROR('Cash Flow'!N21, 0)</f>
        <v>0</v>
      </c>
    </row>
    <row r="93" spans="2:12" x14ac:dyDescent="0.25">
      <c r="B93" t="s">
        <v>100</v>
      </c>
      <c r="C93" s="17">
        <f>IFERROR('Cash Flow'!E22, 0)</f>
        <v>7</v>
      </c>
      <c r="D93" s="17">
        <f>IFERROR('Cash Flow'!F22, 0)</f>
        <v>0</v>
      </c>
      <c r="E93" s="17">
        <f>IFERROR('Cash Flow'!G22, 0)</f>
        <v>0</v>
      </c>
      <c r="F93" s="17">
        <f>IFERROR('Cash Flow'!H22, 0)</f>
        <v>-5</v>
      </c>
      <c r="G93" s="17">
        <f>IFERROR('Cash Flow'!I22, 0)</f>
        <v>-3019</v>
      </c>
      <c r="H93" s="17">
        <f>IFERROR('Cash Flow'!J22, 0)</f>
        <v>-1</v>
      </c>
      <c r="I93" s="17">
        <f>IFERROR('Cash Flow'!K22, 0)</f>
        <v>3003</v>
      </c>
      <c r="J93" s="17">
        <f>IFERROR('Cash Flow'!L22, 0)</f>
        <v>795</v>
      </c>
      <c r="K93" s="17">
        <f>IFERROR('Cash Flow'!M22, 0)</f>
        <v>-201</v>
      </c>
      <c r="L93" s="17">
        <f>IFERROR('Cash Flow'!N22, 0)</f>
        <v>1311</v>
      </c>
    </row>
    <row r="94" spans="2:12" x14ac:dyDescent="0.25">
      <c r="B94" s="24" t="s">
        <v>114</v>
      </c>
      <c r="C94" s="25">
        <f>SUM(C85:C93)</f>
        <v>-9174</v>
      </c>
      <c r="D94" s="25">
        <f t="shared" ref="D94:L94" si="30">SUM(D85:D93)</f>
        <v>-8303</v>
      </c>
      <c r="E94" s="25">
        <f t="shared" si="30"/>
        <v>-3540</v>
      </c>
      <c r="F94" s="25">
        <f t="shared" si="30"/>
        <v>-556</v>
      </c>
      <c r="G94" s="25">
        <f t="shared" si="30"/>
        <v>-7291</v>
      </c>
      <c r="H94" s="25">
        <f t="shared" si="30"/>
        <v>-239</v>
      </c>
      <c r="I94" s="25">
        <f t="shared" si="30"/>
        <v>-8036</v>
      </c>
      <c r="J94" s="25">
        <f t="shared" si="30"/>
        <v>-11865</v>
      </c>
      <c r="K94" s="25">
        <f t="shared" si="30"/>
        <v>-14456</v>
      </c>
      <c r="L94" s="25">
        <f t="shared" si="30"/>
        <v>-14735</v>
      </c>
    </row>
    <row r="96" spans="2:12" x14ac:dyDescent="0.25">
      <c r="B96" s="24" t="s">
        <v>115</v>
      </c>
    </row>
    <row r="97" spans="2:12" x14ac:dyDescent="0.25">
      <c r="B97" t="s">
        <v>101</v>
      </c>
      <c r="C97" s="17">
        <f>IFERROR('Cash Flow'!E24, 0)</f>
        <v>484</v>
      </c>
      <c r="D97" s="17">
        <f>IFERROR('Cash Flow'!F24, 0)</f>
        <v>10</v>
      </c>
      <c r="E97" s="17">
        <f>IFERROR('Cash Flow'!G24, 0)</f>
        <v>39</v>
      </c>
      <c r="F97" s="17">
        <f>IFERROR('Cash Flow'!H24, 0)</f>
        <v>0</v>
      </c>
      <c r="G97" s="17">
        <f>IFERROR('Cash Flow'!I24, 0)</f>
        <v>380</v>
      </c>
      <c r="H97" s="17">
        <f>IFERROR('Cash Flow'!J24, 0)</f>
        <v>0</v>
      </c>
      <c r="I97" s="17">
        <f>IFERROR('Cash Flow'!K24, 0)</f>
        <v>831</v>
      </c>
      <c r="J97" s="17">
        <f>IFERROR('Cash Flow'!L24, 0)</f>
        <v>0</v>
      </c>
      <c r="K97" s="17">
        <f>IFERROR('Cash Flow'!M24, 0)</f>
        <v>0</v>
      </c>
      <c r="L97" s="17">
        <f>IFERROR('Cash Flow'!N24, 0)</f>
        <v>0</v>
      </c>
    </row>
    <row r="98" spans="2:12" x14ac:dyDescent="0.25">
      <c r="B98" t="s">
        <v>102</v>
      </c>
      <c r="C98" s="17">
        <f>IFERROR('Cash Flow'!E25, 0)</f>
        <v>-231</v>
      </c>
      <c r="D98" s="17">
        <f>IFERROR('Cash Flow'!F25, 0)</f>
        <v>-373</v>
      </c>
      <c r="E98" s="17">
        <f>IFERROR('Cash Flow'!G25, 0)</f>
        <v>0</v>
      </c>
      <c r="F98" s="17">
        <f>IFERROR('Cash Flow'!H25, 0)</f>
        <v>-46</v>
      </c>
      <c r="G98" s="17">
        <f>IFERROR('Cash Flow'!I25, 0)</f>
        <v>0</v>
      </c>
      <c r="H98" s="17">
        <f>IFERROR('Cash Flow'!J25, 0)</f>
        <v>-110</v>
      </c>
      <c r="I98" s="17">
        <f>IFERROR('Cash Flow'!K25, 0)</f>
        <v>0</v>
      </c>
      <c r="J98" s="17">
        <f>IFERROR('Cash Flow'!L25, 0)</f>
        <v>-1183</v>
      </c>
      <c r="K98" s="17">
        <f>IFERROR('Cash Flow'!M25, 0)</f>
        <v>-33</v>
      </c>
      <c r="L98" s="17">
        <f>IFERROR('Cash Flow'!N25, 0)</f>
        <v>0</v>
      </c>
    </row>
    <row r="99" spans="2:12" x14ac:dyDescent="0.25">
      <c r="B99" t="s">
        <v>103</v>
      </c>
      <c r="C99" s="17">
        <f>IFERROR('Cash Flow'!E26, 0)</f>
        <v>-110</v>
      </c>
      <c r="D99" s="17">
        <f>IFERROR('Cash Flow'!F26, 0)</f>
        <v>-346</v>
      </c>
      <c r="E99" s="17">
        <f>IFERROR('Cash Flow'!G26, 0)</f>
        <v>-73</v>
      </c>
      <c r="F99" s="17">
        <f>IFERROR('Cash Flow'!H26, 0)</f>
        <v>-136</v>
      </c>
      <c r="G99" s="17">
        <f>IFERROR('Cash Flow'!I26, 0)</f>
        <v>-102</v>
      </c>
      <c r="H99" s="17">
        <f>IFERROR('Cash Flow'!J26, 0)</f>
        <v>-130</v>
      </c>
      <c r="I99" s="17">
        <f>IFERROR('Cash Flow'!K26, 0)</f>
        <v>-186</v>
      </c>
      <c r="J99" s="17">
        <f>IFERROR('Cash Flow'!L26, 0)</f>
        <v>-147</v>
      </c>
      <c r="K99" s="17">
        <f>IFERROR('Cash Flow'!M26, 0)</f>
        <v>-167</v>
      </c>
      <c r="L99" s="17">
        <f>IFERROR('Cash Flow'!N26, 0)</f>
        <v>-204</v>
      </c>
    </row>
    <row r="100" spans="2:12" x14ac:dyDescent="0.25">
      <c r="B100" t="s">
        <v>104</v>
      </c>
      <c r="C100" s="17">
        <f>IFERROR('Cash Flow'!E27, 0)</f>
        <v>-1057</v>
      </c>
      <c r="D100" s="17">
        <f>IFERROR('Cash Flow'!F27, 0)</f>
        <v>-2266</v>
      </c>
      <c r="E100" s="17">
        <f>IFERROR('Cash Flow'!G27, 0)</f>
        <v>-2417</v>
      </c>
      <c r="F100" s="17">
        <f>IFERROR('Cash Flow'!H27, 0)</f>
        <v>-2417</v>
      </c>
      <c r="G100" s="17">
        <f>IFERROR('Cash Flow'!I27, 0)</f>
        <v>-1812</v>
      </c>
      <c r="H100" s="17">
        <f>IFERROR('Cash Flow'!J27, 0)</f>
        <v>-1359</v>
      </c>
      <c r="I100" s="17">
        <f>IFERROR('Cash Flow'!K27, 0)</f>
        <v>-1812</v>
      </c>
      <c r="J100" s="17">
        <f>IFERROR('Cash Flow'!L27, 0)</f>
        <v>-2719</v>
      </c>
      <c r="K100" s="17">
        <f>IFERROR('Cash Flow'!M27, 0)</f>
        <v>-3930</v>
      </c>
      <c r="L100" s="17">
        <f>IFERROR('Cash Flow'!N27, 0)</f>
        <v>-4244</v>
      </c>
    </row>
    <row r="101" spans="2:12" x14ac:dyDescent="0.25">
      <c r="B101" t="s">
        <v>105</v>
      </c>
      <c r="C101" s="17">
        <f>IFERROR('Cash Flow'!E28, 0)</f>
        <v>0</v>
      </c>
      <c r="D101" s="17">
        <f>IFERROR('Cash Flow'!F28, 0)</f>
        <v>0</v>
      </c>
      <c r="E101" s="17">
        <f>IFERROR('Cash Flow'!G28, 0)</f>
        <v>0</v>
      </c>
      <c r="F101" s="17">
        <f>IFERROR('Cash Flow'!H28, 0)</f>
        <v>-10</v>
      </c>
      <c r="G101" s="17">
        <f>IFERROR('Cash Flow'!I28, 0)</f>
        <v>-11</v>
      </c>
      <c r="H101" s="17">
        <f>IFERROR('Cash Flow'!J28, 0)</f>
        <v>-8</v>
      </c>
      <c r="I101" s="17">
        <f>IFERROR('Cash Flow'!K28, 0)</f>
        <v>-46</v>
      </c>
      <c r="J101" s="17">
        <f>IFERROR('Cash Flow'!L28, 0)</f>
        <v>-13</v>
      </c>
      <c r="K101" s="17">
        <f>IFERROR('Cash Flow'!M28, 0)</f>
        <v>-25</v>
      </c>
      <c r="L101" s="17">
        <f>IFERROR('Cash Flow'!N28, 0)</f>
        <v>-36</v>
      </c>
    </row>
    <row r="102" spans="2:12" x14ac:dyDescent="0.25">
      <c r="B102" t="s">
        <v>106</v>
      </c>
      <c r="C102" s="17">
        <f>IFERROR('Cash Flow'!E29, 0)</f>
        <v>-215</v>
      </c>
      <c r="D102" s="17">
        <f>IFERROR('Cash Flow'!F29, 0)</f>
        <v>-461</v>
      </c>
      <c r="E102" s="17">
        <f>IFERROR('Cash Flow'!G29, 0)</f>
        <v>-497</v>
      </c>
      <c r="F102" s="17">
        <f>IFERROR('Cash Flow'!H29, 0)</f>
        <v>-497</v>
      </c>
      <c r="G102" s="17">
        <f>IFERROR('Cash Flow'!I29, 0)</f>
        <v>0</v>
      </c>
      <c r="H102" s="17">
        <f>IFERROR('Cash Flow'!J29, 0)</f>
        <v>0</v>
      </c>
      <c r="I102" s="17">
        <f>IFERROR('Cash Flow'!K29, 0)</f>
        <v>0</v>
      </c>
      <c r="J102" s="17">
        <f>IFERROR('Cash Flow'!L29, 0)</f>
        <v>0</v>
      </c>
      <c r="K102" s="17">
        <f>IFERROR('Cash Flow'!M29, 0)</f>
        <v>0</v>
      </c>
      <c r="L102" s="17">
        <f>IFERROR('Cash Flow'!N29, 0)</f>
        <v>0</v>
      </c>
    </row>
    <row r="103" spans="2:12" x14ac:dyDescent="0.25">
      <c r="B103" s="24" t="s">
        <v>116</v>
      </c>
      <c r="C103" s="25">
        <f>SUM(C97:C102)</f>
        <v>-1129</v>
      </c>
      <c r="D103" s="25">
        <f t="shared" ref="D103:L103" si="31">SUM(D97:D102)</f>
        <v>-3436</v>
      </c>
      <c r="E103" s="25">
        <f t="shared" si="31"/>
        <v>-2948</v>
      </c>
      <c r="F103" s="25">
        <f t="shared" si="31"/>
        <v>-3106</v>
      </c>
      <c r="G103" s="25">
        <f t="shared" si="31"/>
        <v>-1545</v>
      </c>
      <c r="H103" s="25">
        <f t="shared" si="31"/>
        <v>-1607</v>
      </c>
      <c r="I103" s="25">
        <f t="shared" si="31"/>
        <v>-1213</v>
      </c>
      <c r="J103" s="25">
        <f t="shared" si="31"/>
        <v>-4062</v>
      </c>
      <c r="K103" s="25">
        <f t="shared" si="31"/>
        <v>-4155</v>
      </c>
      <c r="L103" s="25">
        <f t="shared" si="31"/>
        <v>-4484</v>
      </c>
    </row>
    <row r="105" spans="2:12" x14ac:dyDescent="0.25">
      <c r="B105" s="24" t="s">
        <v>50</v>
      </c>
      <c r="C105" s="25">
        <f>IFERROR(C82+C94+C103,0)</f>
        <v>2172</v>
      </c>
      <c r="D105" s="25">
        <f t="shared" ref="D105:L105" si="32">IFERROR(D82+D94+D103,0)</f>
        <v>2858</v>
      </c>
      <c r="E105" s="25">
        <f t="shared" si="32"/>
        <v>-1202</v>
      </c>
      <c r="F105" s="25">
        <f t="shared" si="32"/>
        <v>-2737</v>
      </c>
      <c r="G105" s="25">
        <f t="shared" si="32"/>
        <v>4356</v>
      </c>
      <c r="H105" s="25">
        <f t="shared" si="32"/>
        <v>-2818</v>
      </c>
      <c r="I105" s="25">
        <f t="shared" si="32"/>
        <v>377</v>
      </c>
      <c r="J105" s="25">
        <f t="shared" si="32"/>
        <v>2595</v>
      </c>
      <c r="K105" s="25">
        <f t="shared" si="32"/>
        <v>-2852</v>
      </c>
      <c r="L105" s="25">
        <f t="shared" si="32"/>
        <v>1516</v>
      </c>
    </row>
  </sheetData>
  <mergeCells count="1">
    <mergeCell ref="B2:M2"/>
  </mergeCells>
  <pageMargins left="0.7" right="0.7" top="0.75" bottom="0.75" header="0.3" footer="0.3"/>
  <pageSetup orientation="portrait" horizontalDpi="0" verticalDpi="0" r:id="rId1"/>
  <ignoredErrors>
    <ignoredError sqref="M7 M22 M31 M2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41"/>
  <sheetViews>
    <sheetView showGridLines="0" topLeftCell="C1" workbookViewId="0">
      <selection activeCell="Q11" sqref="Q11"/>
    </sheetView>
  </sheetViews>
  <sheetFormatPr defaultRowHeight="15.75" x14ac:dyDescent="0.25"/>
  <cols>
    <col min="1" max="1" width="1.75" customWidth="1"/>
    <col min="2" max="2" width="23.375" customWidth="1"/>
    <col min="4" max="4" width="9.5" customWidth="1"/>
    <col min="10" max="11" width="9.875" customWidth="1"/>
    <col min="12" max="12" width="10.25" customWidth="1"/>
    <col min="13" max="13" width="15.625" customWidth="1"/>
    <col min="14" max="14" width="9.75" customWidth="1"/>
    <col min="15" max="15" width="9.5" customWidth="1"/>
  </cols>
  <sheetData>
    <row r="2" spans="2:15" x14ac:dyDescent="0.25">
      <c r="B2" s="56" t="str">
        <f>"Ratio Analysis - "&amp;'Data Sheet'!B1</f>
        <v>Ratio Analysis - MARUTI SUZUKI INDIA LTD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45"/>
    </row>
    <row r="3" spans="2:15" x14ac:dyDescent="0.25">
      <c r="B3" s="9" t="s">
        <v>54</v>
      </c>
      <c r="C3" s="10">
        <f>'Data Sheet'!B16</f>
        <v>42825</v>
      </c>
      <c r="D3" s="10">
        <f>'Data Sheet'!C16</f>
        <v>43190</v>
      </c>
      <c r="E3" s="10">
        <f>'Data Sheet'!D16</f>
        <v>43555</v>
      </c>
      <c r="F3" s="10">
        <f>'Data Sheet'!E16</f>
        <v>43921</v>
      </c>
      <c r="G3" s="10">
        <f>'Data Sheet'!F16</f>
        <v>44286</v>
      </c>
      <c r="H3" s="10">
        <f>'Data Sheet'!G16</f>
        <v>44651</v>
      </c>
      <c r="I3" s="10">
        <f>'Data Sheet'!H16</f>
        <v>45016</v>
      </c>
      <c r="J3" s="10">
        <f>'Data Sheet'!I16</f>
        <v>45382</v>
      </c>
      <c r="K3" s="10">
        <f>'Data Sheet'!J16</f>
        <v>45747</v>
      </c>
      <c r="L3" s="10">
        <f>'Data Sheet'!K16</f>
        <v>46112</v>
      </c>
      <c r="M3" s="46" t="s">
        <v>148</v>
      </c>
      <c r="N3" s="46" t="s">
        <v>146</v>
      </c>
      <c r="O3" s="46" t="s">
        <v>147</v>
      </c>
    </row>
    <row r="5" spans="2:15" x14ac:dyDescent="0.25">
      <c r="B5" s="33" t="s">
        <v>58</v>
      </c>
      <c r="C5" s="33"/>
      <c r="D5" s="34">
        <f>IFERROR('Historical FS'!D8,0)</f>
        <v>0.17220239406624072</v>
      </c>
      <c r="E5" s="34">
        <f>IFERROR('Historical FS'!E8,0)</f>
        <v>7.8425598989592782E-2</v>
      </c>
      <c r="F5" s="34">
        <f>IFERROR('Historical FS'!F8,0)</f>
        <v>-0.12093274542951249</v>
      </c>
      <c r="G5" s="34">
        <f>IFERROR('Historical FS'!G8,0)</f>
        <v>-6.9891620407084298E-2</v>
      </c>
      <c r="H5" s="34">
        <f>IFERROR('Historical FS'!H8,0)</f>
        <v>0.25518387995225389</v>
      </c>
      <c r="I5" s="34">
        <f>IFERROR('Historical FS'!I8,0)</f>
        <v>0.3310490910202446</v>
      </c>
      <c r="J5" s="34">
        <f>IFERROR('Historical FS'!J8,0)</f>
        <v>0.20657167182807368</v>
      </c>
      <c r="K5" s="34">
        <f>IFERROR('Historical FS'!K8,0)</f>
        <v>7.7928522989858751E-2</v>
      </c>
      <c r="L5" s="34">
        <f>IFERROR('Historical FS'!L8,0)</f>
        <v>0.19882547592421829</v>
      </c>
      <c r="M5" s="33"/>
      <c r="N5" s="34">
        <f>IFERROR(AVERAGE(D5:L5),0)</f>
        <v>0.12548469654820954</v>
      </c>
      <c r="O5" s="34">
        <f>IFERROR(MEDIAN(D5:L5),0)</f>
        <v>0.17220239406624072</v>
      </c>
    </row>
    <row r="6" spans="2:15" x14ac:dyDescent="0.25">
      <c r="B6" s="35" t="s">
        <v>117</v>
      </c>
      <c r="C6" s="35"/>
      <c r="D6" s="36">
        <f>IFERROR('Historical FS'!D19/'Historical FS'!C19-1, 0)</f>
        <v>0.17565314063368542</v>
      </c>
      <c r="E6" s="36">
        <f>IFERROR('Historical FS'!E19/'Historical FS'!D19-1, 0)</f>
        <v>5.6023399285810571E-2</v>
      </c>
      <c r="F6" s="36">
        <f>IFERROR('Historical FS'!F19/'Historical FS'!E19-1, 0)</f>
        <v>-0.13529509836612208</v>
      </c>
      <c r="G6" s="36">
        <f>IFERROR('Historical FS'!G19/'Historical FS'!F19-1, 0)</f>
        <v>-6.1620895438840972E-2</v>
      </c>
      <c r="H6" s="36">
        <f>IFERROR('Historical FS'!H19/'Historical FS'!G19-1, 0)</f>
        <v>0.27092640216339503</v>
      </c>
      <c r="I6" s="36">
        <f>IFERROR('Historical FS'!I19/'Historical FS'!H19-1, 0)</f>
        <v>0.34335637986490197</v>
      </c>
      <c r="J6" s="36">
        <f>IFERROR('Historical FS'!J19/'Historical FS'!I19-1, 0)</f>
        <v>0.21907831587815063</v>
      </c>
      <c r="K6" s="36">
        <f>IFERROR('Historical FS'!K19/'Historical FS'!J19-1, 0)</f>
        <v>8.8582663060741806E-2</v>
      </c>
      <c r="L6" s="36">
        <f>IFERROR('Historical FS'!L19/'Historical FS'!K19-1, 0)</f>
        <v>0.19268394000649436</v>
      </c>
      <c r="M6" s="35"/>
      <c r="N6" s="36">
        <f t="shared" ref="N6:N9" si="0">IFERROR(AVERAGE(D6:L6),0)</f>
        <v>0.12770980523202408</v>
      </c>
      <c r="O6" s="36">
        <f t="shared" ref="O6:O9" si="1">IFERROR(MEDIAN(D6:L6),0)</f>
        <v>0.17565314063368542</v>
      </c>
    </row>
    <row r="7" spans="2:15" x14ac:dyDescent="0.25">
      <c r="B7" s="35" t="s">
        <v>118</v>
      </c>
      <c r="C7" s="35"/>
      <c r="D7" s="36">
        <f>IFERROR('Historical FS'!D28/'Historical FS'!C28-1, 0)</f>
        <v>0.1767155945984682</v>
      </c>
      <c r="E7" s="36">
        <f>IFERROR('Historical FS'!E28/'Historical FS'!D28-1, 0)</f>
        <v>5.8739912571909914E-2</v>
      </c>
      <c r="F7" s="36">
        <f>IFERROR('Historical FS'!F28/'Historical FS'!E28-1, 0)</f>
        <v>-0.14911228491059714</v>
      </c>
      <c r="G7" s="36">
        <f>IFERROR('Historical FS'!G28/'Historical FS'!F28-1, 0)</f>
        <v>-5.6657873042044726E-2</v>
      </c>
      <c r="H7" s="36">
        <f>IFERROR('Historical FS'!H28/'Historical FS'!G28-1, 0)</f>
        <v>0.28962643562643242</v>
      </c>
      <c r="I7" s="36">
        <f>IFERROR('Historical FS'!I28/'Historical FS'!H28-1, 0)</f>
        <v>0.35560817138605372</v>
      </c>
      <c r="J7" s="36">
        <f>IFERROR('Historical FS'!J28/'Historical FS'!I28-1, 0)</f>
        <v>0.20131550269639087</v>
      </c>
      <c r="K7" s="36">
        <f>IFERROR('Historical FS'!K28/'Historical FS'!J28-1, 0)</f>
        <v>8.9662255001094149E-2</v>
      </c>
      <c r="L7" s="36">
        <f>IFERROR('Historical FS'!L28/'Historical FS'!K28-1, 0)</f>
        <v>0.19222591199733619</v>
      </c>
      <c r="M7" s="35"/>
      <c r="N7" s="36">
        <f t="shared" si="0"/>
        <v>0.1286804028805604</v>
      </c>
      <c r="O7" s="36">
        <f t="shared" si="1"/>
        <v>0.1767155945984682</v>
      </c>
    </row>
    <row r="8" spans="2:15" x14ac:dyDescent="0.25">
      <c r="B8" s="35" t="s">
        <v>119</v>
      </c>
      <c r="C8" s="35"/>
      <c r="D8" s="36">
        <f>IFERROR('Historical FS'!D34/'Historical FS'!C34-1, 0)</f>
        <v>0.17291179767460596</v>
      </c>
      <c r="E8" s="36">
        <f>IFERROR('Historical FS'!E34/'Historical FS'!D34-1, 0)</f>
        <v>6.6641993700585767E-2</v>
      </c>
      <c r="F8" s="36">
        <f>IFERROR('Historical FS'!F34/'Historical FS'!E34-1, 0)</f>
        <v>-0.13293990363851704</v>
      </c>
      <c r="G8" s="36">
        <f>IFERROR('Historical FS'!G34/'Historical FS'!F34-1, 0)</f>
        <v>-4.9692020910159451E-2</v>
      </c>
      <c r="H8" s="36">
        <f>IFERROR('Historical FS'!H34/'Historical FS'!G34-1, 0)</f>
        <v>0.29645107299340134</v>
      </c>
      <c r="I8" s="36">
        <f>IFERROR('Historical FS'!I34/'Historical FS'!H34-1, 0)</f>
        <v>0.34185367003533118</v>
      </c>
      <c r="J8" s="36">
        <f>IFERROR('Historical FS'!J34/'Historical FS'!I34-1, 0)</f>
        <v>0.1870269276533163</v>
      </c>
      <c r="K8" s="36">
        <f>IFERROR('Historical FS'!K34/'Historical FS'!J34-1, 0)</f>
        <v>8.2515934966064686E-2</v>
      </c>
      <c r="L8" s="36">
        <f>IFERROR('Historical FS'!L34/'Historical FS'!K34-1, 0)</f>
        <v>0.20545954856667792</v>
      </c>
      <c r="M8" s="35"/>
      <c r="N8" s="36">
        <f t="shared" si="0"/>
        <v>0.13002544678236741</v>
      </c>
      <c r="O8" s="36">
        <f t="shared" si="1"/>
        <v>0.17291179767460596</v>
      </c>
    </row>
    <row r="9" spans="2:15" x14ac:dyDescent="0.25">
      <c r="B9" s="37" t="s">
        <v>120</v>
      </c>
      <c r="C9" s="37"/>
      <c r="D9" s="38">
        <f>IFERROR('Historical FS'!D42/'Historical FS'!C42-1,0)</f>
        <v>6.6666666666666652E-2</v>
      </c>
      <c r="E9" s="38">
        <f>IFERROR('Historical FS'!E42/'Historical FS'!D42-1,0)</f>
        <v>0</v>
      </c>
      <c r="F9" s="38">
        <f>IFERROR('Historical FS'!F42/'Historical FS'!E42-1,0)</f>
        <v>-0.25</v>
      </c>
      <c r="G9" s="38">
        <f>IFERROR('Historical FS'!G42/'Historical FS'!F42-1,0)</f>
        <v>-0.25</v>
      </c>
      <c r="H9" s="38">
        <f>IFERROR('Historical FS'!H42/'Historical FS'!G42-1,0)</f>
        <v>0.33333333333333326</v>
      </c>
      <c r="I9" s="38">
        <f>IFERROR('Historical FS'!I42/'Historical FS'!H42-1,0)</f>
        <v>0.5</v>
      </c>
      <c r="J9" s="38">
        <f>IFERROR('Historical FS'!J42/'Historical FS'!I42-1,0)</f>
        <v>0.38934878587196486</v>
      </c>
      <c r="K9" s="38">
        <f>IFERROR('Historical FS'!K42/'Historical FS'!J42-1,0)</f>
        <v>7.9999999999999849E-2</v>
      </c>
      <c r="L9" s="38">
        <f>IFERROR('Historical FS'!L42/'Historical FS'!K42-1,0)</f>
        <v>3.7037037037037202E-2</v>
      </c>
      <c r="M9" s="37"/>
      <c r="N9" s="38">
        <f t="shared" si="0"/>
        <v>0.10070953587877798</v>
      </c>
      <c r="O9" s="38">
        <f t="shared" si="1"/>
        <v>6.6666666666666652E-2</v>
      </c>
    </row>
    <row r="11" spans="2:15" x14ac:dyDescent="0.25">
      <c r="B11" s="33" t="s">
        <v>121</v>
      </c>
      <c r="C11" s="34">
        <f>IFERROR('Historical FS'!C14,0)</f>
        <v>0.9923830505985165</v>
      </c>
      <c r="D11" s="34">
        <f>IFERROR('Historical FS'!D14,0)</f>
        <v>0.99156239741183372</v>
      </c>
      <c r="E11" s="34">
        <f>IFERROR('Historical FS'!E14,0)</f>
        <v>0.98996961722349053</v>
      </c>
      <c r="F11" s="34">
        <f>IFERROR('Historical FS'!F14,0)</f>
        <v>0.99075469204335187</v>
      </c>
      <c r="G11" s="34">
        <f>IFERROR('Historical FS'!G14,0)</f>
        <v>0.99322741999658948</v>
      </c>
      <c r="H11" s="34">
        <f>IFERROR('Historical FS'!H14,0)</f>
        <v>0.9928574501470625</v>
      </c>
      <c r="I11" s="34">
        <f>IFERROR('Historical FS'!I14,0)</f>
        <v>0.99328067308943591</v>
      </c>
      <c r="J11" s="34">
        <f>IFERROR('Historical FS'!J14,0)</f>
        <v>0.99271526073219596</v>
      </c>
      <c r="K11" s="34">
        <f>IFERROR('Historical FS'!K14,0)</f>
        <v>0.99311634720396558</v>
      </c>
      <c r="L11" s="34">
        <f>IFERROR('Historical FS'!L14,0)</f>
        <v>1</v>
      </c>
      <c r="M11" s="33"/>
      <c r="N11" s="34">
        <f>IFERROR(AVERAGE(C11:L11),0)</f>
        <v>0.99298669084464419</v>
      </c>
      <c r="O11" s="34">
        <f>IFERROR(MEDIAN(C11:L11),0)</f>
        <v>0.99278635543962923</v>
      </c>
    </row>
    <row r="12" spans="2:15" x14ac:dyDescent="0.25">
      <c r="B12" s="35" t="s">
        <v>122</v>
      </c>
      <c r="C12" s="36">
        <f>IFERROR('Historical FS'!C20,0)</f>
        <v>0.87988103106411097</v>
      </c>
      <c r="D12" s="36">
        <f>IFERROR('Historical FS'!D20,0)</f>
        <v>0.88247123772387726</v>
      </c>
      <c r="E12" s="36">
        <f>IFERROR('Historical FS'!E20,0)</f>
        <v>0.86413960972945969</v>
      </c>
      <c r="F12" s="36">
        <f>IFERROR('Historical FS'!F20,0)</f>
        <v>0.85002114723764211</v>
      </c>
      <c r="G12" s="36">
        <f>IFERROR('Historical FS'!G20,0)</f>
        <v>0.85757971920650244</v>
      </c>
      <c r="H12" s="36">
        <f>IFERROR('Historical FS'!H20,0)</f>
        <v>0.86833548813650663</v>
      </c>
      <c r="I12" s="36">
        <f>IFERROR('Historical FS'!I20,0)</f>
        <v>0.87636438484562129</v>
      </c>
      <c r="J12" s="36">
        <f>IFERROR('Historical FS'!J20,0)</f>
        <v>0.88544828568246325</v>
      </c>
      <c r="K12" s="36">
        <f>IFERROR('Historical FS'!K20,0)</f>
        <v>0.8941999699175347</v>
      </c>
      <c r="L12" s="36">
        <f>IFERROR('Historical FS'!L20,0)</f>
        <v>0.88961901852538783</v>
      </c>
      <c r="M12" s="35"/>
      <c r="N12" s="36">
        <f t="shared" ref="N12:N41" si="2">IFERROR(AVERAGE(C12:L12),0)</f>
        <v>0.87480598920691044</v>
      </c>
      <c r="O12" s="36">
        <f t="shared" ref="O12:O41" si="3">IFERROR(MEDIAN(C12:L12),0)</f>
        <v>0.87812270795486613</v>
      </c>
    </row>
    <row r="13" spans="2:15" x14ac:dyDescent="0.25">
      <c r="B13" s="35" t="s">
        <v>123</v>
      </c>
      <c r="C13" s="36">
        <f>IFERROR(('Historical FS'!C19-'Historical FS'!C25)/'Historical FS'!C7,0)</f>
        <v>0.84163619005654688</v>
      </c>
      <c r="D13" s="36">
        <f>IFERROR(('Historical FS'!D19-'Historical FS'!D25)/'Historical FS'!D7,0)</f>
        <v>0.84789135114410086</v>
      </c>
      <c r="E13" s="36">
        <f>IFERROR(('Historical FS'!E19-'Historical FS'!E25)/'Historical FS'!E7,0)</f>
        <v>0.82904198400111528</v>
      </c>
      <c r="F13" s="36">
        <f>IFERROR(('Historical FS'!F19-'Historical FS'!F25)/'Historical FS'!F7,0)</f>
        <v>0.80338620142743855</v>
      </c>
      <c r="G13" s="36">
        <f>IFERROR(('Historical FS'!G19-'Historical FS'!G25)/'Historical FS'!G7,0)</f>
        <v>0.81446455976808951</v>
      </c>
      <c r="H13" s="36">
        <f>IFERROR(('Historical FS'!H19-'Historical FS'!H25)/'Historical FS'!H7,0)</f>
        <v>0.83676064023693031</v>
      </c>
      <c r="I13" s="36">
        <f>IFERROR(('Historical FS'!I19-'Historical FS'!I25)/'Historical FS'!I7,0)</f>
        <v>0.85233045819855702</v>
      </c>
      <c r="J13" s="36">
        <f>IFERROR(('Historical FS'!J19-'Historical FS'!J25)/'Historical FS'!J7,0)</f>
        <v>0.84839861213521672</v>
      </c>
      <c r="K13" s="36">
        <f>IFERROR(('Historical FS'!K19-'Historical FS'!K25)/'Historical FS'!K7,0)</f>
        <v>0.85752421311464677</v>
      </c>
      <c r="L13" s="36">
        <f>IFERROR(('Historical FS'!L19-'Historical FS'!L25)/'Historical FS'!L7,0)</f>
        <v>0.85284263239433533</v>
      </c>
      <c r="M13" s="35"/>
      <c r="N13" s="36">
        <f t="shared" si="2"/>
        <v>0.83842768424769765</v>
      </c>
      <c r="O13" s="36">
        <f t="shared" si="3"/>
        <v>0.84476377060032393</v>
      </c>
    </row>
    <row r="14" spans="2:15" x14ac:dyDescent="0.25">
      <c r="B14" s="35" t="s">
        <v>124</v>
      </c>
      <c r="C14" s="36">
        <f>IFERROR('Historical FS'!C29,0)</f>
        <v>0.84032312550488353</v>
      </c>
      <c r="D14" s="36">
        <f>IFERROR('Historical FS'!D29,0)</f>
        <v>0.84355852819342081</v>
      </c>
      <c r="E14" s="36">
        <f>IFERROR('Historical FS'!E29,0)</f>
        <v>0.82816012826992458</v>
      </c>
      <c r="F14" s="36">
        <f>IFERROR('Historical FS'!F29,0)</f>
        <v>0.80161247687020887</v>
      </c>
      <c r="G14" s="36">
        <f>IFERROR('Historical FS'!G29,0)</f>
        <v>0.81301796168930807</v>
      </c>
      <c r="H14" s="36">
        <f>IFERROR('Historical FS'!H29,0)</f>
        <v>0.83532737535916535</v>
      </c>
      <c r="I14" s="36">
        <f>IFERROR('Historical FS'!I29,0)</f>
        <v>0.85073993398048675</v>
      </c>
      <c r="J14" s="36">
        <f>IFERROR('Historical FS'!J29,0)</f>
        <v>0.84703386903259748</v>
      </c>
      <c r="K14" s="36">
        <f>IFERROR('Historical FS'!K29,0)</f>
        <v>0.8562542099102104</v>
      </c>
      <c r="L14" s="36">
        <f>IFERROR('Historical FS'!L29,0)</f>
        <v>0.85154050928451419</v>
      </c>
      <c r="M14" s="35"/>
      <c r="N14" s="36">
        <f t="shared" si="2"/>
        <v>0.83675681180947203</v>
      </c>
      <c r="O14" s="36">
        <f t="shared" si="3"/>
        <v>0.84194082684915217</v>
      </c>
    </row>
    <row r="15" spans="2:15" x14ac:dyDescent="0.25">
      <c r="B15" s="37" t="s">
        <v>125</v>
      </c>
      <c r="C15" s="38">
        <f>IFERROR('Historical FS'!C35,0)</f>
        <v>0.8018976279650436</v>
      </c>
      <c r="D15" s="38">
        <f>IFERROR('Historical FS'!D35,0)</f>
        <v>0.80238292732435024</v>
      </c>
      <c r="E15" s="38">
        <f>IFERROR('Historical FS'!E35,0)</f>
        <v>0.79361555040461962</v>
      </c>
      <c r="F15" s="38">
        <f>IFERROR('Historical FS'!F35,0)</f>
        <v>0.78277557494052341</v>
      </c>
      <c r="G15" s="38">
        <f>IFERROR('Historical FS'!G35,0)</f>
        <v>0.79977547888364675</v>
      </c>
      <c r="H15" s="38">
        <f>IFERROR('Historical FS'!H35,0)</f>
        <v>0.82607002393303286</v>
      </c>
      <c r="I15" s="38">
        <f>IFERROR('Historical FS'!I35,0)</f>
        <v>0.83277551579339515</v>
      </c>
      <c r="J15" s="38">
        <f>IFERROR('Historical FS'!J35,0)</f>
        <v>0.81928573744767674</v>
      </c>
      <c r="K15" s="38">
        <f>IFERROR('Historical FS'!K35,0)</f>
        <v>0.82277242615081769</v>
      </c>
      <c r="L15" s="38">
        <f>IFERROR('Historical FS'!L35,0)</f>
        <v>0.82732549259202692</v>
      </c>
      <c r="M15" s="37"/>
      <c r="N15" s="38">
        <f t="shared" si="2"/>
        <v>0.81086763554351327</v>
      </c>
      <c r="O15" s="38">
        <f t="shared" si="3"/>
        <v>0.81083433238601343</v>
      </c>
    </row>
    <row r="16" spans="2:15" x14ac:dyDescent="0.25">
      <c r="N16" s="30"/>
      <c r="O16" s="30"/>
    </row>
    <row r="17" spans="2:15" x14ac:dyDescent="0.25">
      <c r="B17" s="33" t="s">
        <v>126</v>
      </c>
      <c r="C17" s="34">
        <f>IFERROR('Historical FS'!C17,0)</f>
        <v>0.11250201953440553</v>
      </c>
      <c r="D17" s="34">
        <f>IFERROR('Historical FS'!D17,0)</f>
        <v>0.10909115968795656</v>
      </c>
      <c r="E17" s="34">
        <f>IFERROR('Historical FS'!E17,0)</f>
        <v>0.12583000749403092</v>
      </c>
      <c r="F17" s="34">
        <f>IFERROR('Historical FS'!F17,0)</f>
        <v>0.14073354480570974</v>
      </c>
      <c r="G17" s="34">
        <f>IFERROR('Historical FS'!G17,0)</f>
        <v>0.13564770079008695</v>
      </c>
      <c r="H17" s="34">
        <f>IFERROR('Historical FS'!H17,0)</f>
        <v>0.12452196201055589</v>
      </c>
      <c r="I17" s="34">
        <f>IFERROR('Historical FS'!I17,0)</f>
        <v>0.1169162882438146</v>
      </c>
      <c r="J17" s="34">
        <f>IFERROR('Historical FS'!J17,0)</f>
        <v>0.10726697504973276</v>
      </c>
      <c r="K17" s="34">
        <f>IFERROR('Historical FS'!K17,0)</f>
        <v>9.8916377286430837E-2</v>
      </c>
      <c r="L17" s="34">
        <f>IFERROR('Historical FS'!L17,0)</f>
        <v>0.11038098147461213</v>
      </c>
      <c r="M17" s="33"/>
      <c r="N17" s="34">
        <f t="shared" si="2"/>
        <v>0.1181807016377336</v>
      </c>
      <c r="O17" s="34">
        <f t="shared" si="3"/>
        <v>0.11470915388911007</v>
      </c>
    </row>
    <row r="18" spans="2:15" x14ac:dyDescent="0.25">
      <c r="B18" s="35" t="s">
        <v>67</v>
      </c>
      <c r="C18" s="36">
        <f>IFERROR('Historical FS'!C26,0)</f>
        <v>3.8244841007564076E-2</v>
      </c>
      <c r="D18" s="36">
        <f>IFERROR('Historical FS'!D26,0)</f>
        <v>3.4579886579776321E-2</v>
      </c>
      <c r="E18" s="36">
        <f>IFERROR('Historical FS'!E26,0)</f>
        <v>3.5097625728344288E-2</v>
      </c>
      <c r="F18" s="36">
        <f>IFERROR('Historical FS'!F26,0)</f>
        <v>4.663494581020354E-2</v>
      </c>
      <c r="G18" s="36">
        <f>IFERROR('Historical FS'!G26,0)</f>
        <v>4.3115159438413E-2</v>
      </c>
      <c r="H18" s="36">
        <f>IFERROR('Historical FS'!H26,0)</f>
        <v>3.1574847899576361E-2</v>
      </c>
      <c r="I18" s="36">
        <f>IFERROR('Historical FS'!I26,0)</f>
        <v>2.4033926647064375E-2</v>
      </c>
      <c r="J18" s="36">
        <f>IFERROR('Historical FS'!J26,0)</f>
        <v>3.7049673547246476E-2</v>
      </c>
      <c r="K18" s="36">
        <f>IFERROR('Historical FS'!K26,0)</f>
        <v>3.6675756802887913E-2</v>
      </c>
      <c r="L18" s="36">
        <f>IFERROR('Historical FS'!L26,0)</f>
        <v>3.6776386131052392E-2</v>
      </c>
      <c r="M18" s="35"/>
      <c r="N18" s="36">
        <f t="shared" si="2"/>
        <v>3.6378304959212876E-2</v>
      </c>
      <c r="O18" s="36">
        <f t="shared" si="3"/>
        <v>3.6726071466970156E-2</v>
      </c>
    </row>
    <row r="19" spans="2:15" x14ac:dyDescent="0.25">
      <c r="B19" s="37" t="s">
        <v>127</v>
      </c>
      <c r="C19" s="38">
        <f>C13</f>
        <v>0.84163619005654688</v>
      </c>
      <c r="D19" s="38">
        <f t="shared" ref="D19:L19" si="4">D13</f>
        <v>0.84789135114410086</v>
      </c>
      <c r="E19" s="38">
        <f t="shared" si="4"/>
        <v>0.82904198400111528</v>
      </c>
      <c r="F19" s="38">
        <f t="shared" si="4"/>
        <v>0.80338620142743855</v>
      </c>
      <c r="G19" s="38">
        <f t="shared" si="4"/>
        <v>0.81446455976808951</v>
      </c>
      <c r="H19" s="38">
        <f t="shared" si="4"/>
        <v>0.83676064023693031</v>
      </c>
      <c r="I19" s="38">
        <f t="shared" si="4"/>
        <v>0.85233045819855702</v>
      </c>
      <c r="J19" s="38">
        <f t="shared" si="4"/>
        <v>0.84839861213521672</v>
      </c>
      <c r="K19" s="38">
        <f t="shared" si="4"/>
        <v>0.85752421311464677</v>
      </c>
      <c r="L19" s="38">
        <f t="shared" si="4"/>
        <v>0.85284263239433533</v>
      </c>
      <c r="M19" s="37"/>
      <c r="N19" s="38">
        <f t="shared" si="2"/>
        <v>0.83842768424769765</v>
      </c>
      <c r="O19" s="38">
        <f t="shared" si="3"/>
        <v>0.84476377060032393</v>
      </c>
    </row>
    <row r="20" spans="2:15" x14ac:dyDescent="0.25">
      <c r="N20" s="30"/>
      <c r="O20" s="30"/>
    </row>
    <row r="21" spans="2:15" x14ac:dyDescent="0.25">
      <c r="B21" s="33" t="s">
        <v>128</v>
      </c>
      <c r="C21" s="34">
        <f>IFERROR(('Historical FS'!C19-'Historical FS'!C25)/SUM('Historical FS'!C50,'Historical FS'!C51,'Historical FS'!C52),0)</f>
        <v>1.5256864587964971</v>
      </c>
      <c r="D21" s="34">
        <f>IFERROR(('Historical FS'!D19-'Historical FS'!D25)/SUM('Historical FS'!D50,'Historical FS'!D51,'Historical FS'!D52),0)</f>
        <v>1.5855056911635839</v>
      </c>
      <c r="E21" s="34">
        <f>IFERROR(('Historical FS'!E19-'Historical FS'!E25)/SUM('Historical FS'!E50,'Historical FS'!E51,'Historical FS'!E52),0)</f>
        <v>1.5100917004044299</v>
      </c>
      <c r="F21" s="34">
        <f>IFERROR(('Historical FS'!F19-'Historical FS'!F25)/SUM('Historical FS'!F50,'Historical FS'!F51,'Historical FS'!F52),0)</f>
        <v>1.2255595589258244</v>
      </c>
      <c r="G21" s="34">
        <f>IFERROR(('Historical FS'!G19-'Historical FS'!G25)/SUM('Historical FS'!G50,'Historical FS'!G51,'Historical FS'!G52),0)</f>
        <v>1.0805784150146582</v>
      </c>
      <c r="H21" s="34">
        <f>IFERROR(('Historical FS'!H19-'Historical FS'!H25)/SUM('Historical FS'!H50,'Historical FS'!H51,'Historical FS'!H52),0)</f>
        <v>1.3255420649581235</v>
      </c>
      <c r="I21" s="34">
        <f>IFERROR(('Historical FS'!I19-'Historical FS'!I25)/SUM('Historical FS'!I50,'Historical FS'!I51,'Historical FS'!I52),0)</f>
        <v>1.589654592582957</v>
      </c>
      <c r="J21" s="34">
        <f>IFERROR(('Historical FS'!J19-'Historical FS'!J25)/SUM('Historical FS'!J50,'Historical FS'!J51,'Historical FS'!J52),0)</f>
        <v>1.4034500773136369</v>
      </c>
      <c r="K21" s="34">
        <f>IFERROR(('Historical FS'!K19-'Historical FS'!K25)/SUM('Historical FS'!K50,'Historical FS'!K51,'Historical FS'!K52),0)</f>
        <v>1.3612666866680023</v>
      </c>
      <c r="L21" s="34">
        <f>IFERROR(('Historical FS'!L19-'Historical FS'!L25)/SUM('Historical FS'!L50,'Historical FS'!L51,'Historical FS'!L52),0)</f>
        <v>1.457593223120154</v>
      </c>
      <c r="M21" s="33"/>
      <c r="N21" s="34">
        <f t="shared" si="2"/>
        <v>1.4064928468947868</v>
      </c>
      <c r="O21" s="34">
        <f t="shared" si="3"/>
        <v>1.4305216502168956</v>
      </c>
    </row>
    <row r="22" spans="2:15" x14ac:dyDescent="0.25">
      <c r="B22" s="35" t="s">
        <v>129</v>
      </c>
      <c r="C22" s="36">
        <f>IFERROR('Historical FS'!C45,0)</f>
        <v>0.95851435604756285</v>
      </c>
      <c r="D22" s="36">
        <f>IFERROR('Historical FS'!D45,0)</f>
        <v>0.96227222401803936</v>
      </c>
      <c r="E22" s="36">
        <f>IFERROR('Historical FS'!E45,0)</f>
        <v>0.96462939186271046</v>
      </c>
      <c r="F22" s="36">
        <f>IFERROR('Historical FS'!F45,0)</f>
        <v>0.96940470883818941</v>
      </c>
      <c r="G22" s="36">
        <f>IFERROR('Historical FS'!G45,0)</f>
        <v>0.97585365073611718</v>
      </c>
      <c r="H22" s="36">
        <f>IFERROR('Historical FS'!H45,0)</f>
        <v>0.97516672011577898</v>
      </c>
      <c r="I22" s="36">
        <f>IFERROR('Historical FS'!I45,0)</f>
        <v>0.97223995383539052</v>
      </c>
      <c r="J22" s="36">
        <f>IFERROR('Historical FS'!J45,0)</f>
        <v>0.9661855201751125</v>
      </c>
      <c r="K22" s="36">
        <f>IFERROR('Historical FS'!K45,0)</f>
        <v>0.96626411027194414</v>
      </c>
      <c r="L22" s="36">
        <f>IFERROR('Historical FS'!L45,0)</f>
        <v>0.97097756854057049</v>
      </c>
      <c r="M22" s="35"/>
      <c r="N22" s="36">
        <f t="shared" si="2"/>
        <v>0.96815082044414158</v>
      </c>
      <c r="O22" s="36">
        <f t="shared" si="3"/>
        <v>0.96783440955506683</v>
      </c>
    </row>
    <row r="23" spans="2:15" x14ac:dyDescent="0.25">
      <c r="B23" s="35" t="s">
        <v>130</v>
      </c>
      <c r="C23" s="36">
        <f>IFERROR('Historical FS'!C34/SUM('Historical FS'!C50:C51),0)</f>
        <v>1.4726109976776867</v>
      </c>
      <c r="D23" s="36">
        <f>IFERROR('Historical FS'!D34/SUM('Historical FS'!D50:D51),0)</f>
        <v>1.504666419169443</v>
      </c>
      <c r="E23" s="36">
        <f>IFERROR('Historical FS'!E34/SUM('Historical FS'!E50:E51),0)</f>
        <v>1.4504619670815275</v>
      </c>
      <c r="F23" s="36">
        <f>IFERROR('Historical FS'!F34/SUM('Historical FS'!F50:F51),0)</f>
        <v>1.1985671786776759</v>
      </c>
      <c r="G23" s="36">
        <f>IFERROR('Historical FS'!G34/SUM('Historical FS'!G50:G51),0)</f>
        <v>1.0720220340338966</v>
      </c>
      <c r="H23" s="36">
        <f>IFERROR('Historical FS'!H34/SUM('Historical FS'!H50:H51),0)</f>
        <v>1.3186695220797529</v>
      </c>
      <c r="I23" s="36">
        <f>IFERROR('Historical FS'!I34/SUM('Historical FS'!I50:I51),0)</f>
        <v>1.5845353633925812</v>
      </c>
      <c r="J23" s="36">
        <f>IFERROR('Historical FS'!J34/SUM('Historical FS'!J50:J51),0)</f>
        <v>1.3571675463590083</v>
      </c>
      <c r="K23" s="36">
        <f>IFERROR('Historical FS'!K34/SUM('Historical FS'!K50:K51),0)</f>
        <v>1.3072810757284661</v>
      </c>
      <c r="L23" s="36">
        <f>IFERROR('Historical FS'!L34/SUM('Historical FS'!L50:L51),0)</f>
        <v>1.4153344227077642</v>
      </c>
      <c r="M23" s="35"/>
      <c r="N23" s="36">
        <f t="shared" si="2"/>
        <v>1.3681316526907801</v>
      </c>
      <c r="O23" s="36">
        <f t="shared" si="3"/>
        <v>1.3862509845333864</v>
      </c>
    </row>
    <row r="24" spans="2:15" x14ac:dyDescent="0.25">
      <c r="B24" s="35" t="s">
        <v>131</v>
      </c>
      <c r="C24" s="36">
        <f>IFERROR(C23*C22,0)</f>
        <v>1.411518782147587</v>
      </c>
      <c r="D24" s="36">
        <f t="shared" ref="D24:L24" si="5">IFERROR(D23*D22,0)</f>
        <v>1.4478987015794393</v>
      </c>
      <c r="E24" s="36">
        <f t="shared" si="5"/>
        <v>1.3991582452258446</v>
      </c>
      <c r="F24" s="36">
        <f t="shared" si="5"/>
        <v>1.1618966668690425</v>
      </c>
      <c r="G24" s="36">
        <f t="shared" si="5"/>
        <v>1.0461366155815361</v>
      </c>
      <c r="H24" s="36">
        <f t="shared" si="5"/>
        <v>1.2859226327631543</v>
      </c>
      <c r="I24" s="36">
        <f t="shared" si="5"/>
        <v>1.5405485885553469</v>
      </c>
      <c r="J24" s="36">
        <f t="shared" si="5"/>
        <v>1.3112756317436596</v>
      </c>
      <c r="K24" s="36">
        <f t="shared" si="5"/>
        <v>1.2631787855141163</v>
      </c>
      <c r="L24" s="36">
        <f t="shared" si="5"/>
        <v>1.3742579764325569</v>
      </c>
      <c r="M24" s="35"/>
      <c r="N24" s="36">
        <f t="shared" si="2"/>
        <v>1.3241792626412283</v>
      </c>
      <c r="O24" s="36">
        <f t="shared" si="3"/>
        <v>1.3427668040881082</v>
      </c>
    </row>
    <row r="25" spans="2:15" x14ac:dyDescent="0.25">
      <c r="B25" s="37" t="s">
        <v>132</v>
      </c>
      <c r="C25" s="39">
        <f>IFERROR(('Historical FS'!C19-'Historical FS'!C25)/'Historical FS'!C22,0)</f>
        <v>640.97091722595064</v>
      </c>
      <c r="D25" s="39">
        <f>IFERROR(('Historical FS'!D19-'Historical FS'!D25)/'Historical FS'!D22,0)</f>
        <v>195.6902834008097</v>
      </c>
      <c r="E25" s="39">
        <f>IFERROR(('Historical FS'!E19-'Historical FS'!E25)/'Historical FS'!E22,0)</f>
        <v>940.11067193675876</v>
      </c>
      <c r="F25" s="39">
        <f>IFERROR(('Historical FS'!F19-'Historical FS'!F25)/'Historical FS'!F22,0)</f>
        <v>452.93740685543963</v>
      </c>
      <c r="G25" s="39">
        <f>IFERROR(('Historical FS'!G19-'Historical FS'!G25)/'Historical FS'!G22,0)</f>
        <v>563.02062868369342</v>
      </c>
      <c r="H25" s="39">
        <f>IFERROR(('Historical FS'!H19-'Historical FS'!H25)/'Historical FS'!H22,0)</f>
        <v>583.81437598736181</v>
      </c>
      <c r="I25" s="39">
        <f>IFERROR(('Historical FS'!I19-'Historical FS'!I25)/'Historical FS'!I22,0)</f>
        <v>535.88021390374331</v>
      </c>
      <c r="J25" s="39">
        <f>IFERROR(('Historical FS'!J19-'Historical FS'!J25)/'Historical FS'!J22,0)</f>
        <v>621.6544421487605</v>
      </c>
      <c r="K25" s="39">
        <f>IFERROR(('Historical FS'!K19-'Historical FS'!K25)/'Historical FS'!K22,0)</f>
        <v>675.21421215242015</v>
      </c>
      <c r="L25" s="39">
        <f>IFERROR(('Historical FS'!L19-'Historical FS'!L25)/'Historical FS'!L22,0)</f>
        <v>654.963133640553</v>
      </c>
      <c r="M25" s="37"/>
      <c r="N25" s="38">
        <f t="shared" si="2"/>
        <v>586.42562859354916</v>
      </c>
      <c r="O25" s="38">
        <f t="shared" si="3"/>
        <v>602.73440906806115</v>
      </c>
    </row>
    <row r="26" spans="2:15" x14ac:dyDescent="0.25">
      <c r="N26" s="30"/>
      <c r="O26" s="30"/>
    </row>
    <row r="27" spans="2:15" x14ac:dyDescent="0.25">
      <c r="B27" s="33" t="s">
        <v>133</v>
      </c>
      <c r="C27" s="40">
        <f>IFERROR('Historical FS'!C7/'Historical FS'!C62,0)</f>
        <v>56.614834525195413</v>
      </c>
      <c r="D27" s="40">
        <f>IFERROR('Historical FS'!D7/'Historical FS'!D62,0)</f>
        <v>54.462535826395516</v>
      </c>
      <c r="E27" s="40">
        <f>IFERROR('Historical FS'!E7/'Historical FS'!E62,0)</f>
        <v>37.213983050847453</v>
      </c>
      <c r="F27" s="40">
        <f>IFERROR('Historical FS'!F7/'Historical FS'!F62,0)</f>
        <v>38.256560651261566</v>
      </c>
      <c r="G27" s="40">
        <f>IFERROR('Historical FS'!G7/'Historical FS'!G62,0)</f>
        <v>54.98242050160168</v>
      </c>
      <c r="H27" s="40">
        <f>IFERROR('Historical FS'!H7/'Historical FS'!H62,0)</f>
        <v>43.415974440894573</v>
      </c>
      <c r="I27" s="40">
        <f>IFERROR('Historical FS'!I7/'Historical FS'!I62,0)</f>
        <v>35.612558308596356</v>
      </c>
      <c r="J27" s="40">
        <f>IFERROR('Historical FS'!J7/'Historical FS'!J62,0)</f>
        <v>30.860207100591719</v>
      </c>
      <c r="K27" s="40">
        <f>IFERROR('Historical FS'!K7/'Historical FS'!K62,0)</f>
        <v>23.382265241524841</v>
      </c>
      <c r="L27" s="40">
        <f>IFERROR('Historical FS'!L7/'Historical FS'!L62,0)</f>
        <v>34.315986521901912</v>
      </c>
      <c r="M27" s="33"/>
      <c r="N27" s="34">
        <f t="shared" si="2"/>
        <v>40.911732616881103</v>
      </c>
      <c r="O27" s="34">
        <f t="shared" si="3"/>
        <v>37.735271851054506</v>
      </c>
    </row>
    <row r="28" spans="2:15" x14ac:dyDescent="0.25">
      <c r="B28" s="35" t="s">
        <v>134</v>
      </c>
      <c r="C28" s="41">
        <f>IFERROR('Historical FS'!C7/'Historical FS'!C53,0)</f>
        <v>4.7275340582427203</v>
      </c>
      <c r="D28" s="41">
        <f>IFERROR('Historical FS'!D7/'Historical FS'!D53,0)</f>
        <v>4.5428330733939726</v>
      </c>
      <c r="E28" s="41">
        <f>IFERROR('Historical FS'!E7/'Historical FS'!E53,0)</f>
        <v>5.1485613447388889</v>
      </c>
      <c r="F28" s="41">
        <f>IFERROR('Historical FS'!F7/'Historical FS'!F53,0)</f>
        <v>5.3924992516357104</v>
      </c>
      <c r="G28" s="41">
        <f>IFERROR('Historical FS'!G7/'Historical FS'!G53,0)</f>
        <v>3.8382075420243695</v>
      </c>
      <c r="H28" s="41">
        <f>IFERROR('Historical FS'!H7/'Historical FS'!H53,0)</f>
        <v>4.6744000211679415</v>
      </c>
      <c r="I28" s="41">
        <f>IFERROR('Historical FS'!I7/'Historical FS'!I53,0)</f>
        <v>5.4536443040499485</v>
      </c>
      <c r="J28" s="41">
        <f>IFERROR('Historical FS'!J7/'Historical FS'!J53,0)</f>
        <v>4.8006971353153185</v>
      </c>
      <c r="K28" s="41">
        <f>IFERROR('Historical FS'!K7/'Historical FS'!K53,0)</f>
        <v>4.2899706264395707</v>
      </c>
      <c r="L28" s="41">
        <f>IFERROR('Historical FS'!L7/'Historical FS'!L53,0)</f>
        <v>4.4042842521538992</v>
      </c>
      <c r="M28" s="35"/>
      <c r="N28" s="36">
        <f t="shared" si="2"/>
        <v>4.7272631609162339</v>
      </c>
      <c r="O28" s="36">
        <f t="shared" si="3"/>
        <v>4.7009670397053309</v>
      </c>
    </row>
    <row r="29" spans="2:15" x14ac:dyDescent="0.25">
      <c r="B29" s="35" t="s">
        <v>135</v>
      </c>
      <c r="C29" s="41">
        <f>IFERROR('Historical FS'!C7/'Historical FS'!C63,0)</f>
        <v>20.861292398198366</v>
      </c>
      <c r="D29" s="41">
        <f>IFERROR('Historical FS'!D7/'Historical FS'!D63,0)</f>
        <v>25.254540851844819</v>
      </c>
      <c r="E29" s="41">
        <f>IFERROR('Historical FS'!E7/'Historical FS'!E63,0)</f>
        <v>25.903960753626677</v>
      </c>
      <c r="F29" s="41">
        <f>IFERROR('Historical FS'!F7/'Historical FS'!F63,0)</f>
        <v>23.541491645664145</v>
      </c>
      <c r="G29" s="41">
        <f>IFERROR('Historical FS'!G7/'Historical FS'!G63,0)</f>
        <v>23.080354214496555</v>
      </c>
      <c r="H29" s="41">
        <f>IFERROR('Historical FS'!H7/'Historical FS'!H63,0)</f>
        <v>25.006313167058291</v>
      </c>
      <c r="I29" s="41">
        <f>IFERROR('Historical FS'!I7/'Historical FS'!I63,0)</f>
        <v>27.447484533675734</v>
      </c>
      <c r="J29" s="41">
        <f>IFERROR('Historical FS'!J7/'Historical FS'!J63,0)</f>
        <v>26.674601831481169</v>
      </c>
      <c r="K29" s="41">
        <f>IFERROR('Historical FS'!K7/'Historical FS'!K63,0)</f>
        <v>22.118989758722446</v>
      </c>
      <c r="L29" s="41">
        <f>IFERROR('Historical FS'!L7/'Historical FS'!L63,0)</f>
        <v>16.193134639506738</v>
      </c>
      <c r="M29" s="35"/>
      <c r="N29" s="36">
        <f t="shared" si="2"/>
        <v>23.608216379427496</v>
      </c>
      <c r="O29" s="36">
        <f t="shared" si="3"/>
        <v>24.273902406361216</v>
      </c>
    </row>
    <row r="30" spans="2:15" x14ac:dyDescent="0.25">
      <c r="B30" s="35" t="s">
        <v>136</v>
      </c>
      <c r="C30" s="41">
        <f>IFERROR('Historical FS'!C7/'Historical FS'!C56,0)</f>
        <v>5.1150578106335498</v>
      </c>
      <c r="D30" s="41">
        <f>IFERROR('Historical FS'!D7/'Historical FS'!D56,0)</f>
        <v>5.9609076242829824</v>
      </c>
      <c r="E30" s="41">
        <f>IFERROR('Historical FS'!E7/'Historical FS'!E56,0)</f>
        <v>5.5753596807731922</v>
      </c>
      <c r="F30" s="41">
        <f>IFERROR('Historical FS'!F7/'Historical FS'!F56,0)</f>
        <v>4.8055181524859636</v>
      </c>
      <c r="G30" s="41">
        <f>IFERROR('Historical FS'!G7/'Historical FS'!G56,0)</f>
        <v>4.6950035693555812</v>
      </c>
      <c r="H30" s="41">
        <f>IFERROR('Historical FS'!H7/'Historical FS'!H56,0)</f>
        <v>6.4252938780260704</v>
      </c>
      <c r="I30" s="41">
        <f>IFERROR('Historical FS'!I7/'Historical FS'!I56,0)</f>
        <v>6.5938677763819094</v>
      </c>
      <c r="J30" s="41">
        <f>IFERROR('Historical FS'!J7/'Historical FS'!J56,0)</f>
        <v>5.0909462834831043</v>
      </c>
      <c r="K30" s="41">
        <f>IFERROR('Historical FS'!K7/'Historical FS'!K56,0)</f>
        <v>4.6361577433017915</v>
      </c>
      <c r="L30" s="41">
        <f>IFERROR('Historical FS'!L7/'Historical FS'!L56,0)</f>
        <v>5.2442827145448199</v>
      </c>
      <c r="M30" s="35"/>
      <c r="N30" s="36">
        <f t="shared" si="2"/>
        <v>5.4142395233268967</v>
      </c>
      <c r="O30" s="36">
        <f t="shared" si="3"/>
        <v>5.1796702625891848</v>
      </c>
    </row>
    <row r="31" spans="2:15" x14ac:dyDescent="0.25">
      <c r="B31" s="37" t="s">
        <v>137</v>
      </c>
      <c r="C31" s="39">
        <f>IFERROR('Historical FS'!C7/SUM('Historical FS'!C50,'Historical FS'!C51),0)</f>
        <v>1.8364077237822691</v>
      </c>
      <c r="D31" s="39">
        <f>IFERROR('Historical FS'!D7/SUM('Historical FS'!D50,'Historical FS'!D51),0)</f>
        <v>1.8752473014187228</v>
      </c>
      <c r="E31" s="39">
        <f>IFERROR('Historical FS'!E7/SUM('Historical FS'!E50,'Historical FS'!E51),0)</f>
        <v>1.8276632386323821</v>
      </c>
      <c r="F31" s="39">
        <f>IFERROR('Historical FS'!F7/SUM('Historical FS'!F50,'Historical FS'!F51),0)</f>
        <v>1.5311760063141278</v>
      </c>
      <c r="G31" s="39">
        <f>IFERROR('Historical FS'!G7/SUM('Historical FS'!G50,'Historical FS'!G51),0)</f>
        <v>1.3404037287192909</v>
      </c>
      <c r="H31" s="39">
        <f>IFERROR('Historical FS'!H7/SUM('Historical FS'!H50,'Historical FS'!H51),0)</f>
        <v>1.5963168785636188</v>
      </c>
      <c r="I31" s="39">
        <f>IFERROR('Historical FS'!I7/SUM('Historical FS'!I50,'Historical FS'!I51),0)</f>
        <v>1.9027160781533969</v>
      </c>
      <c r="J31" s="39">
        <f>IFERROR('Historical FS'!J7/SUM('Historical FS'!J50,'Historical FS'!J51),0)</f>
        <v>1.6565252931010324</v>
      </c>
      <c r="K31" s="39">
        <f>IFERROR('Historical FS'!K7/SUM('Historical FS'!K50,'Historical FS'!K51),0)</f>
        <v>1.5888732220212201</v>
      </c>
      <c r="L31" s="39">
        <f>IFERROR('Historical FS'!L7/SUM('Historical FS'!L50,'Historical FS'!L51),0)</f>
        <v>1.7107346931538323</v>
      </c>
      <c r="M31" s="37"/>
      <c r="N31" s="38">
        <f t="shared" si="2"/>
        <v>1.6866064163859893</v>
      </c>
      <c r="O31" s="38">
        <f t="shared" si="3"/>
        <v>1.6836299931274323</v>
      </c>
    </row>
    <row r="32" spans="2:15" x14ac:dyDescent="0.25">
      <c r="C32" s="31"/>
      <c r="D32" s="31"/>
      <c r="E32" s="31"/>
      <c r="F32" s="31"/>
      <c r="G32" s="31"/>
      <c r="H32" s="31"/>
      <c r="I32" s="31"/>
      <c r="J32" s="31"/>
      <c r="K32" s="31"/>
      <c r="L32" s="31"/>
      <c r="N32" s="30"/>
      <c r="O32" s="30"/>
    </row>
    <row r="33" spans="2:15" x14ac:dyDescent="0.25">
      <c r="B33" s="32" t="s">
        <v>145</v>
      </c>
      <c r="N33" s="30"/>
      <c r="O33" s="30"/>
    </row>
    <row r="34" spans="2:15" x14ac:dyDescent="0.25">
      <c r="B34" s="33" t="s">
        <v>138</v>
      </c>
      <c r="C34" s="42">
        <f>IFERROR(365/C27,0)</f>
        <v>6.4470735110523609</v>
      </c>
      <c r="D34" s="42">
        <f t="shared" ref="D34:L34" si="6">IFERROR(365/D27,0)</f>
        <v>6.7018546687482941</v>
      </c>
      <c r="E34" s="42">
        <f t="shared" si="6"/>
        <v>9.8081411898662125</v>
      </c>
      <c r="F34" s="42">
        <f t="shared" si="6"/>
        <v>9.5408472112080354</v>
      </c>
      <c r="G34" s="42">
        <f t="shared" si="6"/>
        <v>6.6384854771784241</v>
      </c>
      <c r="H34" s="42">
        <f t="shared" si="6"/>
        <v>8.4070438289229674</v>
      </c>
      <c r="I34" s="42">
        <f t="shared" si="6"/>
        <v>10.249193468133804</v>
      </c>
      <c r="J34" s="42">
        <f t="shared" si="6"/>
        <v>11.827529180547899</v>
      </c>
      <c r="K34" s="42">
        <f t="shared" si="6"/>
        <v>15.610121441604049</v>
      </c>
      <c r="L34" s="42">
        <f t="shared" si="6"/>
        <v>10.636441990879137</v>
      </c>
      <c r="M34" s="33"/>
      <c r="N34" s="34">
        <f t="shared" si="2"/>
        <v>9.5866731968141181</v>
      </c>
      <c r="O34" s="34">
        <f t="shared" si="3"/>
        <v>9.6744942005371239</v>
      </c>
    </row>
    <row r="35" spans="2:15" x14ac:dyDescent="0.25">
      <c r="B35" s="35" t="s">
        <v>139</v>
      </c>
      <c r="C35" s="43">
        <f>IFERROR(365/C28,0)</f>
        <v>77.207270323859873</v>
      </c>
      <c r="D35" s="43">
        <f t="shared" ref="D35:L35" si="7">IFERROR(365/D28,0)</f>
        <v>80.346337649449822</v>
      </c>
      <c r="E35" s="43">
        <f t="shared" si="7"/>
        <v>70.893590570301555</v>
      </c>
      <c r="F35" s="43">
        <f t="shared" si="7"/>
        <v>67.686611155167853</v>
      </c>
      <c r="G35" s="43">
        <f t="shared" si="7"/>
        <v>95.09647302904564</v>
      </c>
      <c r="H35" s="43">
        <f t="shared" si="7"/>
        <v>78.084887546445245</v>
      </c>
      <c r="I35" s="43">
        <f t="shared" si="7"/>
        <v>66.927723857778219</v>
      </c>
      <c r="J35" s="43">
        <f t="shared" si="7"/>
        <v>76.030624243082173</v>
      </c>
      <c r="K35" s="43">
        <f t="shared" si="7"/>
        <v>85.082167637807117</v>
      </c>
      <c r="L35" s="43">
        <f t="shared" si="7"/>
        <v>82.873851709616176</v>
      </c>
      <c r="M35" s="35"/>
      <c r="N35" s="36">
        <f t="shared" si="2"/>
        <v>78.022953772255363</v>
      </c>
      <c r="O35" s="36">
        <f t="shared" si="3"/>
        <v>77.646078935152559</v>
      </c>
    </row>
    <row r="36" spans="2:15" x14ac:dyDescent="0.25">
      <c r="B36" s="35" t="s">
        <v>140</v>
      </c>
      <c r="C36" s="43">
        <f>IFERROR(365/C29,0)</f>
        <v>17.496519057061025</v>
      </c>
      <c r="D36" s="43">
        <f t="shared" ref="D36:L36" si="8">IFERROR(365/D29,0)</f>
        <v>14.452846406563639</v>
      </c>
      <c r="E36" s="43">
        <f t="shared" si="8"/>
        <v>14.090509303636058</v>
      </c>
      <c r="F36" s="43">
        <f t="shared" si="8"/>
        <v>15.504540047581285</v>
      </c>
      <c r="G36" s="43">
        <f t="shared" si="8"/>
        <v>15.814315352697095</v>
      </c>
      <c r="H36" s="43">
        <f t="shared" si="8"/>
        <v>14.596314041240895</v>
      </c>
      <c r="I36" s="43">
        <f t="shared" si="8"/>
        <v>13.298122075710653</v>
      </c>
      <c r="J36" s="43">
        <f t="shared" si="8"/>
        <v>13.683428240313214</v>
      </c>
      <c r="K36" s="43">
        <f t="shared" si="8"/>
        <v>16.501657805418766</v>
      </c>
      <c r="L36" s="43">
        <f t="shared" si="8"/>
        <v>22.540416548473676</v>
      </c>
      <c r="M36" s="35"/>
      <c r="N36" s="36">
        <f t="shared" si="2"/>
        <v>15.797866887869631</v>
      </c>
      <c r="O36" s="36">
        <f t="shared" si="3"/>
        <v>15.050427044411091</v>
      </c>
    </row>
    <row r="37" spans="2:15" x14ac:dyDescent="0.25">
      <c r="B37" s="37" t="s">
        <v>141</v>
      </c>
      <c r="C37" s="44">
        <f>IFERROR(SUM(C34,C36)-C35,0)</f>
        <v>-53.263677755746485</v>
      </c>
      <c r="D37" s="44">
        <f t="shared" ref="D37:L37" si="9">IFERROR(SUM(D34,D36)-D35,0)</f>
        <v>-59.191636574137888</v>
      </c>
      <c r="E37" s="44">
        <f t="shared" si="9"/>
        <v>-46.994940076799281</v>
      </c>
      <c r="F37" s="44">
        <f t="shared" si="9"/>
        <v>-42.641223896378534</v>
      </c>
      <c r="G37" s="44">
        <f t="shared" si="9"/>
        <v>-72.643672199170112</v>
      </c>
      <c r="H37" s="44">
        <f t="shared" si="9"/>
        <v>-55.081529676281384</v>
      </c>
      <c r="I37" s="44">
        <f t="shared" si="9"/>
        <v>-43.380408313933764</v>
      </c>
      <c r="J37" s="44">
        <f t="shared" si="9"/>
        <v>-50.519666822221062</v>
      </c>
      <c r="K37" s="44">
        <f t="shared" si="9"/>
        <v>-52.970388390784301</v>
      </c>
      <c r="L37" s="44">
        <f t="shared" si="9"/>
        <v>-49.696993170263362</v>
      </c>
      <c r="M37" s="37"/>
      <c r="N37" s="38">
        <f t="shared" si="2"/>
        <v>-52.638413687571607</v>
      </c>
      <c r="O37" s="38">
        <f t="shared" si="3"/>
        <v>-51.745027606502681</v>
      </c>
    </row>
    <row r="38" spans="2:15" x14ac:dyDescent="0.25">
      <c r="N38" s="30"/>
      <c r="O38" s="30"/>
    </row>
    <row r="39" spans="2:15" x14ac:dyDescent="0.25">
      <c r="B39" s="33" t="s">
        <v>142</v>
      </c>
      <c r="C39" s="34">
        <f>IFERROR('Historical FS'!C94/'Historical FS'!C7,0)</f>
        <v>-0.13474333553646178</v>
      </c>
      <c r="D39" s="34">
        <f>IFERROR('Historical FS'!D94/'Historical FS'!D7,0)</f>
        <v>-0.10403536425533835</v>
      </c>
      <c r="E39" s="34">
        <f>IFERROR('Historical FS'!E94/'Historical FS'!E7,0)</f>
        <v>-4.1130030150403458E-2</v>
      </c>
      <c r="F39" s="34">
        <f>IFERROR('Historical FS'!F94/'Historical FS'!F7,0)</f>
        <v>-7.3486650806238434E-3</v>
      </c>
      <c r="G39" s="34">
        <f>IFERROR('Historical FS'!G94/'Historical FS'!G7,0)</f>
        <v>-0.10360654805888705</v>
      </c>
      <c r="H39" s="34">
        <f>IFERROR('Historical FS'!H94/'Historical FS'!H7,0)</f>
        <v>-2.7057686081028145E-3</v>
      </c>
      <c r="I39" s="34">
        <f>IFERROR('Historical FS'!I94/'Historical FS'!I7,0)</f>
        <v>-6.8350013991509834E-2</v>
      </c>
      <c r="J39" s="34">
        <f>IFERROR('Historical FS'!J94/'Historical FS'!J7,0)</f>
        <v>-8.3639860085634801E-2</v>
      </c>
      <c r="K39" s="34">
        <f>IFERROR('Historical FS'!K94/'Historical FS'!K7,0)</f>
        <v>-9.453741670099991E-2</v>
      </c>
      <c r="L39" s="34">
        <f>IFERROR('Historical FS'!L94/'Historical FS'!L7,0)</f>
        <v>-8.0380326867267454E-2</v>
      </c>
      <c r="M39" s="33"/>
      <c r="N39" s="34">
        <f t="shared" si="2"/>
        <v>-7.2047732933522929E-2</v>
      </c>
      <c r="O39" s="34">
        <f t="shared" si="3"/>
        <v>-8.2010093476451135E-2</v>
      </c>
    </row>
    <row r="40" spans="2:15" x14ac:dyDescent="0.25">
      <c r="B40" s="35" t="s">
        <v>143</v>
      </c>
      <c r="C40" s="36">
        <f>IFERROR('Historical FS'!C82/'Historical FS'!C67,0)</f>
        <v>0.24008621933969074</v>
      </c>
      <c r="D40" s="36">
        <f>IFERROR('Historical FS'!D82/'Historical FS'!D67,0)</f>
        <v>0.24228029292064188</v>
      </c>
      <c r="E40" s="36">
        <f>IFERROR('Historical FS'!E82/'Historical FS'!E67,0)</f>
        <v>8.2634163270474473E-2</v>
      </c>
      <c r="F40" s="36">
        <f>IFERROR('Historical FS'!F82/'Historical FS'!F67,0)</f>
        <v>1.4537693488842124E-2</v>
      </c>
      <c r="G40" s="36">
        <f>IFERROR('Historical FS'!G82/'Historical FS'!G67,0)</f>
        <v>0.18482377154257515</v>
      </c>
      <c r="H40" s="36">
        <f>IFERROR('Historical FS'!H82/'Historical FS'!H67,0)</f>
        <v>-1.3019804301089672E-2</v>
      </c>
      <c r="I40" s="36">
        <f>IFERROR('Historical FS'!I82/'Historical FS'!I67,0)</f>
        <v>0.11378667539827109</v>
      </c>
      <c r="J40" s="36">
        <f>IFERROR('Historical FS'!J82/'Historical FS'!J67,0)</f>
        <v>0.16063609186490332</v>
      </c>
      <c r="K40" s="36">
        <f>IFERROR('Historical FS'!K82/'Historical FS'!K67,0)</f>
        <v>0.11941241725467376</v>
      </c>
      <c r="L40" s="36">
        <f>IFERROR('Historical FS'!L82/'Historical FS'!L67,0)</f>
        <v>0.13927230472659372</v>
      </c>
      <c r="M40" s="35"/>
      <c r="N40" s="36">
        <f t="shared" si="2"/>
        <v>0.12844498255055767</v>
      </c>
      <c r="O40" s="36">
        <f t="shared" si="3"/>
        <v>0.12934236099063373</v>
      </c>
    </row>
    <row r="41" spans="2:15" x14ac:dyDescent="0.25">
      <c r="B41" s="37" t="s">
        <v>144</v>
      </c>
      <c r="C41" s="38">
        <f>IFERROR('Historical FS'!C82/'Historical FS'!C52,0)</f>
        <v>25.796112489660874</v>
      </c>
      <c r="D41" s="38">
        <f>IFERROR('Historical FS'!D82/'Historical FS'!D52,0)</f>
        <v>120.83609271523179</v>
      </c>
      <c r="E41" s="38">
        <f>IFERROR('Historical FS'!E82/'Historical FS'!E52,0)</f>
        <v>33.120300751879704</v>
      </c>
      <c r="F41" s="38">
        <f>IFERROR('Historical FS'!F82/'Historical FS'!F52,0)</f>
        <v>5.0244432373709937</v>
      </c>
      <c r="G41" s="38">
        <f>IFERROR('Historical FS'!G82/'Historical FS'!G52,0)</f>
        <v>24.38898132741727</v>
      </c>
      <c r="H41" s="38">
        <f>IFERROR('Historical FS'!H82/'Historical FS'!H52,0)</f>
        <v>-2.2843713278495885</v>
      </c>
      <c r="I41" s="38">
        <f>IFERROR('Historical FS'!I82/'Historical FS'!I52,0)</f>
        <v>7.7174697346267944</v>
      </c>
      <c r="J41" s="38">
        <f>IFERROR('Historical FS'!J82/'Historical FS'!J52,0)</f>
        <v>156.17200674536258</v>
      </c>
      <c r="K41" s="38">
        <f>IFERROR('Historical FS'!K82/'Historical FS'!K52,0)</f>
        <v>181.13793103448276</v>
      </c>
      <c r="L41" s="38">
        <f>IFERROR('Historical FS'!L82/'Historical FS'!L52,0)</f>
        <v>202.29268292682926</v>
      </c>
      <c r="M41" s="37"/>
      <c r="N41" s="38">
        <f t="shared" si="2"/>
        <v>75.42016496350125</v>
      </c>
      <c r="O41" s="38">
        <f t="shared" si="3"/>
        <v>29.458206620770291</v>
      </c>
    </row>
  </sheetData>
  <mergeCells count="1">
    <mergeCell ref="B2:L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>
          <x14:colorSeries rgb="FFFF0000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1"/>
          <x14:colorLow theme="1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  <x14:sparkline>
              <xm:f>'Ratio Analysis'!C41:L41</xm:f>
              <xm:sqref>M41</xm:sqref>
            </x14:sparkline>
          </x14:sparklines>
        </x14:sparklineGroup>
        <x14:sparklineGroup displayEmptyCellsAs="gap" high="1" low="1">
          <x14:colorSeries rgb="FFFF0000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1"/>
          <x14:colorLow theme="1"/>
          <x14:sparklines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  <x14:sparklineGroup displayEmptyCellsAs="gap" high="1" low="1">
          <x14:colorSeries rgb="FFFF0000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1"/>
          <x14:colorLow theme="1"/>
          <x14:sparklines>
            <x14:sparkline>
              <xm:f>'Ratio Analysis'!D7:L7</xm:f>
              <xm:sqref>M7</xm:sqref>
            </x14:sparkline>
          </x14:sparklines>
        </x14:sparklineGroup>
        <x14:sparklineGroup displayEmptyCellsAs="gap" high="1" low="1">
          <x14:colorSeries rgb="FFFF0000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1"/>
          <x14:colorLow theme="1"/>
          <x14:sparklines>
            <x14:sparkline>
              <xm:f>'Ratio Analysis'!D6:L6</xm:f>
              <xm:sqref>M6</xm:sqref>
            </x14:sparkline>
          </x14:sparklines>
        </x14:sparklineGroup>
        <x14:sparklineGroup displayEmptyCellsAs="gap" high="1" low="1">
          <x14:colorSeries rgb="FFFF0000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1"/>
          <x14:colorLow theme="1"/>
          <x14:sparklines>
            <x14:sparkline>
              <xm:f>'Ratio Analysis'!D5:L5</xm:f>
              <xm:sqref>M5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0"/>
  <sheetViews>
    <sheetView showGridLines="0" tabSelected="1" workbookViewId="0">
      <selection activeCell="O27" sqref="O27"/>
    </sheetView>
  </sheetViews>
  <sheetFormatPr defaultRowHeight="15.75" x14ac:dyDescent="0.25"/>
  <cols>
    <col min="1" max="1" width="1.75" customWidth="1"/>
    <col min="2" max="2" width="11" customWidth="1"/>
    <col min="3" max="3" width="8.625" customWidth="1"/>
    <col min="4" max="4" width="10.25" customWidth="1"/>
    <col min="5" max="5" width="11.875" customWidth="1"/>
    <col min="6" max="6" width="4.125" customWidth="1"/>
    <col min="7" max="7" width="11.25" customWidth="1"/>
    <col min="9" max="9" width="10.5" customWidth="1"/>
    <col min="10" max="10" width="11.25" customWidth="1"/>
    <col min="11" max="11" width="4.75" customWidth="1"/>
    <col min="12" max="12" width="11.25" customWidth="1"/>
    <col min="13" max="13" width="9.25" customWidth="1"/>
    <col min="14" max="14" width="9.875" customWidth="1"/>
    <col min="15" max="15" width="11.125" customWidth="1"/>
  </cols>
  <sheetData>
    <row r="2" spans="2:15" x14ac:dyDescent="0.25">
      <c r="B2" s="57" t="str">
        <f>'Data Sheet'!$B$1&amp;" - "&amp;'Data Sheet'!A17&amp;" Forecasting"</f>
        <v>MARUTI SUZUKI INDIA LTD - Sales Forecasting</v>
      </c>
      <c r="C2" s="57"/>
      <c r="D2" s="57"/>
      <c r="E2" s="57"/>
      <c r="G2" s="57" t="str">
        <f>'Data Sheet'!$B$1&amp;" - "&amp;'Historical FS'!B19 &amp; " Forecasting "</f>
        <v xml:space="preserve">MARUTI SUZUKI INDIA LTD - EBITDA Forecasting </v>
      </c>
      <c r="H2" s="57"/>
      <c r="I2" s="57"/>
      <c r="J2" s="57"/>
      <c r="L2" s="57" t="str">
        <f>'Data Sheet'!$B$1&amp;" - "&amp;'Historical FS'!B39 &amp; " Forecasting "</f>
        <v xml:space="preserve">MARUTI SUZUKI INDIA LTD - EPS Forecasting </v>
      </c>
      <c r="M2" s="57"/>
      <c r="N2" s="57"/>
      <c r="O2" s="57"/>
    </row>
    <row r="3" spans="2:15" x14ac:dyDescent="0.25">
      <c r="B3" s="47" t="s">
        <v>149</v>
      </c>
      <c r="C3" s="47" t="s">
        <v>150</v>
      </c>
      <c r="D3" s="47" t="s">
        <v>12</v>
      </c>
      <c r="E3" s="47" t="s">
        <v>58</v>
      </c>
      <c r="G3" s="47" t="s">
        <v>149</v>
      </c>
      <c r="H3" s="47" t="s">
        <v>150</v>
      </c>
      <c r="I3" s="47" t="s">
        <v>64</v>
      </c>
      <c r="J3" s="47" t="s">
        <v>58</v>
      </c>
      <c r="L3" s="47" t="s">
        <v>149</v>
      </c>
      <c r="M3" s="47" t="s">
        <v>150</v>
      </c>
      <c r="N3" s="47" t="s">
        <v>74</v>
      </c>
      <c r="O3" s="47" t="s">
        <v>58</v>
      </c>
    </row>
    <row r="4" spans="2:15" x14ac:dyDescent="0.25">
      <c r="B4" s="48">
        <v>1</v>
      </c>
      <c r="C4" s="50">
        <f>'Data Sheet'!$B$16</f>
        <v>42825</v>
      </c>
      <c r="D4" s="51">
        <f t="array" ref="D4:D13">TRANSPOSE('Data Sheet'!B17:K17)</f>
        <v>68085</v>
      </c>
      <c r="G4" s="48">
        <v>1</v>
      </c>
      <c r="H4" s="50">
        <f>'Data Sheet'!$B$16</f>
        <v>42825</v>
      </c>
      <c r="I4" s="51">
        <f t="array" ref="I4:I13">TRANSPOSE('Historical FS'!C19:L19)</f>
        <v>59906.7</v>
      </c>
      <c r="L4" s="48">
        <v>1</v>
      </c>
      <c r="M4" s="50">
        <f>'Data Sheet'!$B$16</f>
        <v>42825</v>
      </c>
      <c r="N4" s="51">
        <f t="array" ref="N4:N13">TRANSPOSE('Historical FS'!C39:L39)</f>
        <v>1807.2558755379011</v>
      </c>
    </row>
    <row r="5" spans="2:15" x14ac:dyDescent="0.25">
      <c r="B5" s="48">
        <f>B4+1</f>
        <v>2</v>
      </c>
      <c r="C5" s="50">
        <f>C4+365</f>
        <v>43190</v>
      </c>
      <c r="D5" s="51">
        <v>79809.399999999994</v>
      </c>
      <c r="E5" s="30">
        <f>D5/D4-1</f>
        <v>0.17220239406624072</v>
      </c>
      <c r="G5" s="48">
        <f>G4+1</f>
        <v>2</v>
      </c>
      <c r="H5" s="50">
        <f>H4+365</f>
        <v>43190</v>
      </c>
      <c r="I5" s="51">
        <v>70429.5</v>
      </c>
      <c r="J5" s="30">
        <f>I5/I4-1</f>
        <v>0.17565314063368542</v>
      </c>
      <c r="L5" s="48">
        <f>L4+1</f>
        <v>2</v>
      </c>
      <c r="M5" s="50">
        <f>M4+365</f>
        <v>43190</v>
      </c>
      <c r="N5" s="51">
        <v>2119.7517378351536</v>
      </c>
      <c r="O5" s="30">
        <f>N5/N4-1</f>
        <v>0.17291179767460596</v>
      </c>
    </row>
    <row r="6" spans="2:15" x14ac:dyDescent="0.25">
      <c r="B6" s="48">
        <f t="shared" ref="B6:B13" si="0">B5+1</f>
        <v>3</v>
      </c>
      <c r="C6" s="50">
        <f t="shared" ref="C6:C18" si="1">C5+365</f>
        <v>43555</v>
      </c>
      <c r="D6" s="51">
        <v>86068.5</v>
      </c>
      <c r="E6" s="30">
        <f t="shared" ref="E6:E18" si="2">D6/D5-1</f>
        <v>7.8425598989592782E-2</v>
      </c>
      <c r="G6" s="48">
        <f t="shared" ref="G6" si="3">G5+1</f>
        <v>3</v>
      </c>
      <c r="H6" s="50">
        <f t="shared" ref="H6:H18" si="4">H5+365</f>
        <v>43555</v>
      </c>
      <c r="I6" s="51">
        <v>74375.199999999997</v>
      </c>
      <c r="J6" s="30">
        <f t="shared" ref="J6:J18" si="5">I6/I5-1</f>
        <v>5.6023399285810571E-2</v>
      </c>
      <c r="L6" s="48">
        <f t="shared" ref="L6" si="6">L5+1</f>
        <v>3</v>
      </c>
      <c r="M6" s="50">
        <f t="shared" ref="M6:M18" si="7">M5+365</f>
        <v>43555</v>
      </c>
      <c r="N6" s="51">
        <v>2261.0162197947698</v>
      </c>
      <c r="O6" s="30">
        <f t="shared" ref="O6:O18" si="8">N6/N5-1</f>
        <v>6.6641993700585767E-2</v>
      </c>
    </row>
    <row r="7" spans="2:15" x14ac:dyDescent="0.25">
      <c r="B7" s="48">
        <f t="shared" si="0"/>
        <v>4</v>
      </c>
      <c r="C7" s="50">
        <f t="shared" si="1"/>
        <v>43920</v>
      </c>
      <c r="D7" s="51">
        <v>75660</v>
      </c>
      <c r="E7" s="30">
        <f t="shared" si="2"/>
        <v>-0.12093274542951249</v>
      </c>
      <c r="G7" s="48">
        <f t="shared" ref="G7" si="9">G6+1</f>
        <v>4</v>
      </c>
      <c r="H7" s="50">
        <f t="shared" si="4"/>
        <v>43920</v>
      </c>
      <c r="I7" s="51">
        <v>64312.6</v>
      </c>
      <c r="J7" s="30">
        <f t="shared" si="5"/>
        <v>-0.13529509836612208</v>
      </c>
      <c r="L7" s="48">
        <f t="shared" ref="L7" si="10">L6+1</f>
        <v>4</v>
      </c>
      <c r="M7" s="50">
        <f t="shared" si="7"/>
        <v>43920</v>
      </c>
      <c r="N7" s="51">
        <v>1960.4369414101291</v>
      </c>
      <c r="O7" s="30">
        <f t="shared" si="8"/>
        <v>-0.13293990363851704</v>
      </c>
    </row>
    <row r="8" spans="2:15" x14ac:dyDescent="0.25">
      <c r="B8" s="48">
        <f t="shared" si="0"/>
        <v>5</v>
      </c>
      <c r="C8" s="50">
        <f t="shared" si="1"/>
        <v>44285</v>
      </c>
      <c r="D8" s="51">
        <v>70372</v>
      </c>
      <c r="E8" s="30">
        <f t="shared" si="2"/>
        <v>-6.9891620407084298E-2</v>
      </c>
      <c r="G8" s="48">
        <f t="shared" ref="G8" si="11">G7+1</f>
        <v>5</v>
      </c>
      <c r="H8" s="50">
        <f t="shared" si="4"/>
        <v>44285</v>
      </c>
      <c r="I8" s="51">
        <v>60349.599999999991</v>
      </c>
      <c r="J8" s="30">
        <f t="shared" si="5"/>
        <v>-6.1620895438840972E-2</v>
      </c>
      <c r="L8" s="48">
        <f t="shared" ref="L8" si="12">L7+1</f>
        <v>5</v>
      </c>
      <c r="M8" s="50">
        <f t="shared" si="7"/>
        <v>44285</v>
      </c>
      <c r="N8" s="51">
        <v>1863.018867924528</v>
      </c>
      <c r="O8" s="30">
        <f t="shared" si="8"/>
        <v>-4.9692020910159451E-2</v>
      </c>
    </row>
    <row r="9" spans="2:15" x14ac:dyDescent="0.25">
      <c r="B9" s="48">
        <f t="shared" si="0"/>
        <v>6</v>
      </c>
      <c r="C9" s="50">
        <f t="shared" si="1"/>
        <v>44650</v>
      </c>
      <c r="D9" s="51">
        <v>88329.8</v>
      </c>
      <c r="E9" s="30">
        <f t="shared" si="2"/>
        <v>0.25518387995225389</v>
      </c>
      <c r="G9" s="48">
        <f t="shared" ref="G9" si="13">G8+1</f>
        <v>6</v>
      </c>
      <c r="H9" s="50">
        <f t="shared" si="4"/>
        <v>44650</v>
      </c>
      <c r="I9" s="51">
        <v>76699.900000000009</v>
      </c>
      <c r="J9" s="30">
        <f t="shared" si="5"/>
        <v>0.27092640216339503</v>
      </c>
      <c r="L9" s="48">
        <f t="shared" ref="L9" si="14">L8+1</f>
        <v>6</v>
      </c>
      <c r="M9" s="50">
        <f t="shared" si="7"/>
        <v>44650</v>
      </c>
      <c r="N9" s="51">
        <v>2415.3128103277063</v>
      </c>
      <c r="O9" s="30">
        <f t="shared" si="8"/>
        <v>0.29645107299340134</v>
      </c>
    </row>
    <row r="10" spans="2:15" x14ac:dyDescent="0.25">
      <c r="B10" s="48">
        <f t="shared" si="0"/>
        <v>7</v>
      </c>
      <c r="C10" s="50">
        <f t="shared" si="1"/>
        <v>45015</v>
      </c>
      <c r="D10" s="51">
        <v>117571.3</v>
      </c>
      <c r="E10" s="30">
        <f t="shared" si="2"/>
        <v>0.3310490910202446</v>
      </c>
      <c r="G10" s="48">
        <f t="shared" ref="G10" si="15">G9+1</f>
        <v>7</v>
      </c>
      <c r="H10" s="50">
        <f t="shared" si="4"/>
        <v>45015</v>
      </c>
      <c r="I10" s="51">
        <v>103035.3</v>
      </c>
      <c r="J10" s="30">
        <f t="shared" si="5"/>
        <v>0.34335637986490197</v>
      </c>
      <c r="L10" s="48">
        <f t="shared" ref="L10" si="16">L9+1</f>
        <v>7</v>
      </c>
      <c r="M10" s="50">
        <f t="shared" si="7"/>
        <v>45015</v>
      </c>
      <c r="N10" s="51">
        <v>3240.9963588215824</v>
      </c>
      <c r="O10" s="30">
        <f t="shared" si="8"/>
        <v>0.34185367003533118</v>
      </c>
    </row>
    <row r="11" spans="2:15" x14ac:dyDescent="0.25">
      <c r="B11" s="48">
        <f t="shared" si="0"/>
        <v>8</v>
      </c>
      <c r="C11" s="50">
        <f t="shared" si="1"/>
        <v>45380</v>
      </c>
      <c r="D11" s="51">
        <v>141858.20000000001</v>
      </c>
      <c r="E11" s="30">
        <f t="shared" si="2"/>
        <v>0.20657167182807368</v>
      </c>
      <c r="G11" s="48">
        <f t="shared" ref="G11" si="17">G10+1</f>
        <v>8</v>
      </c>
      <c r="H11" s="50">
        <f t="shared" si="4"/>
        <v>45380</v>
      </c>
      <c r="I11" s="51">
        <v>125608.10000000002</v>
      </c>
      <c r="J11" s="30">
        <f t="shared" si="5"/>
        <v>0.21907831587815063</v>
      </c>
      <c r="L11" s="48">
        <f t="shared" ref="L11" si="18">L10+1</f>
        <v>8</v>
      </c>
      <c r="M11" s="50">
        <f t="shared" si="7"/>
        <v>45380</v>
      </c>
      <c r="N11" s="51">
        <v>3696.6412213740464</v>
      </c>
      <c r="O11" s="30">
        <f t="shared" si="8"/>
        <v>0.14058789708672648</v>
      </c>
    </row>
    <row r="12" spans="2:15" x14ac:dyDescent="0.25">
      <c r="B12" s="48">
        <f t="shared" si="0"/>
        <v>9</v>
      </c>
      <c r="C12" s="50">
        <f t="shared" si="1"/>
        <v>45745</v>
      </c>
      <c r="D12" s="51">
        <v>152913</v>
      </c>
      <c r="E12" s="30">
        <f t="shared" si="2"/>
        <v>7.7928522989858751E-2</v>
      </c>
      <c r="G12" s="48">
        <f t="shared" ref="G12" si="19">G11+1</f>
        <v>9</v>
      </c>
      <c r="H12" s="50">
        <f t="shared" si="4"/>
        <v>45745</v>
      </c>
      <c r="I12" s="51">
        <v>136734.79999999999</v>
      </c>
      <c r="J12" s="30">
        <f t="shared" si="5"/>
        <v>8.8582663060741806E-2</v>
      </c>
      <c r="L12" s="48">
        <f t="shared" ref="L12" si="20">L11+1</f>
        <v>9</v>
      </c>
      <c r="M12" s="50">
        <f t="shared" si="7"/>
        <v>45745</v>
      </c>
      <c r="N12" s="51">
        <v>4001.6730279898215</v>
      </c>
      <c r="O12" s="30">
        <f t="shared" si="8"/>
        <v>8.2515934966064908E-2</v>
      </c>
    </row>
    <row r="13" spans="2:15" x14ac:dyDescent="0.25">
      <c r="B13" s="48">
        <f t="shared" si="0"/>
        <v>10</v>
      </c>
      <c r="C13" s="50">
        <f t="shared" si="1"/>
        <v>46110</v>
      </c>
      <c r="D13" s="51">
        <v>183316</v>
      </c>
      <c r="E13" s="30">
        <f t="shared" si="2"/>
        <v>0.19882547592421829</v>
      </c>
      <c r="G13" s="48">
        <f t="shared" ref="G13" si="21">G12+1</f>
        <v>10</v>
      </c>
      <c r="H13" s="50">
        <f t="shared" si="4"/>
        <v>46110</v>
      </c>
      <c r="I13" s="51">
        <v>163081.4</v>
      </c>
      <c r="J13" s="30">
        <f t="shared" si="5"/>
        <v>0.19268394000649436</v>
      </c>
      <c r="L13" s="48">
        <f t="shared" ref="L13" si="22">L12+1</f>
        <v>10</v>
      </c>
      <c r="M13" s="50">
        <f t="shared" si="7"/>
        <v>46110</v>
      </c>
      <c r="N13" s="51">
        <v>4823.8549618320612</v>
      </c>
      <c r="O13" s="30">
        <f t="shared" si="8"/>
        <v>0.20545954856667792</v>
      </c>
    </row>
    <row r="14" spans="2:15" x14ac:dyDescent="0.25">
      <c r="B14" s="52">
        <f>B13+1</f>
        <v>11</v>
      </c>
      <c r="C14" s="53">
        <f t="shared" si="1"/>
        <v>46475</v>
      </c>
      <c r="D14" s="54">
        <f>FORECAST(B14,$D$4:$D$13,$B$4:$B$13)</f>
        <v>172113.13333333333</v>
      </c>
      <c r="E14" s="55">
        <f t="shared" si="2"/>
        <v>-6.1112323346934616E-2</v>
      </c>
      <c r="G14" s="52">
        <f>G13+1</f>
        <v>11</v>
      </c>
      <c r="H14" s="53">
        <f t="shared" si="4"/>
        <v>46475</v>
      </c>
      <c r="I14" s="54">
        <f>FORECAST(G14,$I$4:$I$13,$G$4:$G$13)</f>
        <v>152833.05333333334</v>
      </c>
      <c r="J14" s="55">
        <f t="shared" si="5"/>
        <v>-6.2841910031840809E-2</v>
      </c>
      <c r="L14" s="52">
        <f>L13+1</f>
        <v>11</v>
      </c>
      <c r="M14" s="53">
        <f t="shared" si="7"/>
        <v>46475</v>
      </c>
      <c r="N14" s="54">
        <f>FORECAST(L14,$N$4:$N$13,$L$4:$L$13)</f>
        <v>4548.8270692935721</v>
      </c>
      <c r="O14" s="55">
        <f t="shared" si="8"/>
        <v>-5.7014129718783169E-2</v>
      </c>
    </row>
    <row r="15" spans="2:15" x14ac:dyDescent="0.25">
      <c r="B15" s="52">
        <f>B14+1</f>
        <v>12</v>
      </c>
      <c r="C15" s="53">
        <f t="shared" si="1"/>
        <v>46840</v>
      </c>
      <c r="D15" s="54">
        <f t="shared" ref="D15:D18" si="23">FORECAST(B15,$D$4:$D$13,$B$4:$B$13)</f>
        <v>184061.28121212122</v>
      </c>
      <c r="E15" s="55">
        <f t="shared" si="2"/>
        <v>6.9420314692939744E-2</v>
      </c>
      <c r="G15" s="52">
        <f>G14+1</f>
        <v>12</v>
      </c>
      <c r="H15" s="53">
        <f t="shared" si="4"/>
        <v>46840</v>
      </c>
      <c r="I15" s="54">
        <f t="shared" ref="I15:I18" si="24">FORECAST(G15,$I$4:$I$13,$G$4:$G$13)</f>
        <v>163629.3703030303</v>
      </c>
      <c r="J15" s="55">
        <f t="shared" si="5"/>
        <v>7.0641243724614222E-2</v>
      </c>
      <c r="L15" s="52">
        <f>L14+1</f>
        <v>12</v>
      </c>
      <c r="M15" s="53">
        <f t="shared" si="7"/>
        <v>46840</v>
      </c>
      <c r="N15" s="54">
        <f t="shared" ref="N15:N18" si="25">FORECAST(L15,$N$4:$N$13,$L$4:$L$13)</f>
        <v>4863.3418451133539</v>
      </c>
      <c r="O15" s="55">
        <f t="shared" si="8"/>
        <v>6.9141950447596523E-2</v>
      </c>
    </row>
    <row r="16" spans="2:15" x14ac:dyDescent="0.25">
      <c r="B16" s="52">
        <f t="shared" ref="B16:B18" si="26">B15+1</f>
        <v>13</v>
      </c>
      <c r="C16" s="53">
        <f t="shared" si="1"/>
        <v>47205</v>
      </c>
      <c r="D16" s="54">
        <f t="shared" si="23"/>
        <v>196009.42909090911</v>
      </c>
      <c r="E16" s="55">
        <f t="shared" si="2"/>
        <v>6.4913966696875658E-2</v>
      </c>
      <c r="G16" s="52">
        <f t="shared" ref="G16" si="27">G15+1</f>
        <v>13</v>
      </c>
      <c r="H16" s="53">
        <f t="shared" si="4"/>
        <v>47205</v>
      </c>
      <c r="I16" s="54">
        <f t="shared" si="24"/>
        <v>174425.68727272726</v>
      </c>
      <c r="J16" s="55">
        <f t="shared" si="5"/>
        <v>6.5980312395647056E-2</v>
      </c>
      <c r="L16" s="52">
        <f t="shared" ref="L16" si="28">L15+1</f>
        <v>13</v>
      </c>
      <c r="M16" s="53">
        <f t="shared" si="7"/>
        <v>47205</v>
      </c>
      <c r="N16" s="54">
        <f t="shared" si="25"/>
        <v>5177.8566209331357</v>
      </c>
      <c r="O16" s="55">
        <f t="shared" si="8"/>
        <v>6.4670505556956304E-2</v>
      </c>
    </row>
    <row r="17" spans="2:15" x14ac:dyDescent="0.25">
      <c r="B17" s="52">
        <f t="shared" si="26"/>
        <v>14</v>
      </c>
      <c r="C17" s="53">
        <f t="shared" si="1"/>
        <v>47570</v>
      </c>
      <c r="D17" s="54">
        <f t="shared" si="23"/>
        <v>207957.57696969697</v>
      </c>
      <c r="E17" s="55">
        <f t="shared" si="2"/>
        <v>6.0957005661428143E-2</v>
      </c>
      <c r="G17" s="52">
        <f t="shared" ref="G17" si="29">G16+1</f>
        <v>14</v>
      </c>
      <c r="H17" s="53">
        <f t="shared" si="4"/>
        <v>47570</v>
      </c>
      <c r="I17" s="54">
        <f t="shared" si="24"/>
        <v>185222.00424242421</v>
      </c>
      <c r="J17" s="55">
        <f t="shared" si="5"/>
        <v>6.1896370531802081E-2</v>
      </c>
      <c r="L17" s="52">
        <f t="shared" ref="L17" si="30">L16+1</f>
        <v>14</v>
      </c>
      <c r="M17" s="53">
        <f t="shared" si="7"/>
        <v>47570</v>
      </c>
      <c r="N17" s="54">
        <f t="shared" si="25"/>
        <v>5492.3713967529175</v>
      </c>
      <c r="O17" s="55">
        <f t="shared" si="8"/>
        <v>6.0742272110868356E-2</v>
      </c>
    </row>
    <row r="18" spans="2:15" x14ac:dyDescent="0.25">
      <c r="B18" s="52">
        <f t="shared" si="26"/>
        <v>15</v>
      </c>
      <c r="C18" s="53">
        <f t="shared" si="1"/>
        <v>47935</v>
      </c>
      <c r="D18" s="54">
        <f t="shared" si="23"/>
        <v>219905.72484848485</v>
      </c>
      <c r="E18" s="55">
        <f t="shared" si="2"/>
        <v>5.7454736936702E-2</v>
      </c>
      <c r="G18" s="52">
        <f t="shared" ref="G18" si="31">G17+1</f>
        <v>15</v>
      </c>
      <c r="H18" s="53">
        <f t="shared" si="4"/>
        <v>47935</v>
      </c>
      <c r="I18" s="54">
        <f t="shared" si="24"/>
        <v>196018.32121212123</v>
      </c>
      <c r="J18" s="55">
        <f t="shared" si="5"/>
        <v>5.8288522542745413E-2</v>
      </c>
      <c r="L18" s="52">
        <f t="shared" ref="L18" si="32">L17+1</f>
        <v>15</v>
      </c>
      <c r="M18" s="53">
        <f t="shared" si="7"/>
        <v>47935</v>
      </c>
      <c r="N18" s="54">
        <f t="shared" si="25"/>
        <v>5806.8861725727002</v>
      </c>
      <c r="O18" s="55">
        <f t="shared" si="8"/>
        <v>5.7263930841553012E-2</v>
      </c>
    </row>
    <row r="19" spans="2:15" x14ac:dyDescent="0.25">
      <c r="B19" s="48"/>
      <c r="C19" s="49"/>
    </row>
    <row r="20" spans="2:15" x14ac:dyDescent="0.25">
      <c r="B20" s="48"/>
      <c r="C20" s="49"/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7" sqref="E27"/>
    </sheetView>
  </sheetViews>
  <sheetFormatPr defaultRowHeight="15.7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K93"/>
  <sheetViews>
    <sheetView topLeftCell="A10" workbookViewId="0">
      <selection activeCell="A30" sqref="A30"/>
    </sheetView>
  </sheetViews>
  <sheetFormatPr defaultColWidth="7.75" defaultRowHeight="15.75" x14ac:dyDescent="0.25"/>
  <cols>
    <col min="1" max="1" width="24.25" style="2" bestFit="1" customWidth="1"/>
    <col min="2" max="11" width="11.75" style="2" bestFit="1" customWidth="1"/>
    <col min="12" max="16384" width="7.75" style="2"/>
  </cols>
  <sheetData>
    <row r="1" spans="1:11" s="1" customFormat="1" ht="15" x14ac:dyDescent="0.25">
      <c r="A1" s="1" t="s">
        <v>0</v>
      </c>
      <c r="B1" s="1" t="s">
        <v>1</v>
      </c>
      <c r="E1" s="58" t="str">
        <f>IF(B2&lt;&gt;B3, "A NEW VERSION OF THE WORKSHEET IS AVAILABLE", "")</f>
        <v>A NEW VERSION OF THE WORKSHEET IS AVAILABLE</v>
      </c>
      <c r="F1" s="58"/>
      <c r="G1" s="58"/>
      <c r="H1" s="58"/>
      <c r="I1" s="58"/>
      <c r="J1" s="58"/>
      <c r="K1" s="58"/>
    </row>
    <row r="2" spans="1:11" x14ac:dyDescent="0.25">
      <c r="A2" s="1" t="s">
        <v>2</v>
      </c>
      <c r="B2" s="2" t="str">
        <f>'Data Sheet'!B1&amp;" -"""</f>
        <v>MARUTI SUZUKI INDIA LTD -"</v>
      </c>
      <c r="E2" s="59" t="s">
        <v>3</v>
      </c>
      <c r="F2" s="59"/>
      <c r="G2" s="59"/>
      <c r="H2" s="59"/>
      <c r="I2" s="59"/>
      <c r="J2" s="59"/>
      <c r="K2" s="59"/>
    </row>
    <row r="3" spans="1:11" x14ac:dyDescent="0.25">
      <c r="A3" s="1" t="s">
        <v>4</v>
      </c>
      <c r="B3" s="2">
        <v>2.1</v>
      </c>
    </row>
    <row r="4" spans="1:11" x14ac:dyDescent="0.25">
      <c r="A4" s="1"/>
    </row>
    <row r="5" spans="1:11" x14ac:dyDescent="0.25">
      <c r="A5" s="1" t="s">
        <v>5</v>
      </c>
    </row>
    <row r="6" spans="1:11" x14ac:dyDescent="0.25">
      <c r="A6" s="2" t="s">
        <v>6</v>
      </c>
      <c r="B6" s="2">
        <f>IF(B9&gt;0, B9/B8, 0)</f>
        <v>31.440263314489737</v>
      </c>
    </row>
    <row r="7" spans="1:11" x14ac:dyDescent="0.25">
      <c r="A7" s="2" t="s">
        <v>7</v>
      </c>
      <c r="B7">
        <v>5</v>
      </c>
    </row>
    <row r="8" spans="1:11" x14ac:dyDescent="0.25">
      <c r="A8" s="2" t="s">
        <v>8</v>
      </c>
      <c r="B8">
        <v>13444</v>
      </c>
    </row>
    <row r="9" spans="1:11" x14ac:dyDescent="0.25">
      <c r="A9" s="2" t="s">
        <v>9</v>
      </c>
      <c r="B9">
        <v>422682.9</v>
      </c>
    </row>
    <row r="15" spans="1:11" x14ac:dyDescent="0.25">
      <c r="A15" s="1" t="s">
        <v>10</v>
      </c>
    </row>
    <row r="16" spans="1:11" s="5" customFormat="1" ht="15" x14ac:dyDescent="0.25">
      <c r="A16" s="3" t="s">
        <v>11</v>
      </c>
      <c r="B16" s="4">
        <v>42825</v>
      </c>
      <c r="C16" s="4">
        <v>43190</v>
      </c>
      <c r="D16" s="4">
        <v>43555</v>
      </c>
      <c r="E16" s="4">
        <v>43921</v>
      </c>
      <c r="F16" s="4">
        <v>44286</v>
      </c>
      <c r="G16" s="4">
        <v>44651</v>
      </c>
      <c r="H16" s="4">
        <v>45016</v>
      </c>
      <c r="I16" s="4">
        <v>45382</v>
      </c>
      <c r="J16" s="4">
        <v>45747</v>
      </c>
      <c r="K16" s="4">
        <v>46112</v>
      </c>
    </row>
    <row r="17" spans="1:11" s="6" customFormat="1" x14ac:dyDescent="0.25">
      <c r="A17" s="6" t="s">
        <v>12</v>
      </c>
      <c r="B17">
        <v>68085</v>
      </c>
      <c r="C17">
        <v>79809.399999999994</v>
      </c>
      <c r="D17">
        <v>86068.5</v>
      </c>
      <c r="E17">
        <v>75660</v>
      </c>
      <c r="F17">
        <v>70372</v>
      </c>
      <c r="G17">
        <v>88329.8</v>
      </c>
      <c r="H17">
        <v>117571.3</v>
      </c>
      <c r="I17">
        <v>141858.20000000001</v>
      </c>
      <c r="J17">
        <v>152913</v>
      </c>
      <c r="K17">
        <v>183316</v>
      </c>
    </row>
    <row r="18" spans="1:11" s="6" customFormat="1" x14ac:dyDescent="0.25">
      <c r="A18" s="2" t="s">
        <v>13</v>
      </c>
      <c r="B18">
        <v>47121.5</v>
      </c>
      <c r="C18">
        <v>54945.3</v>
      </c>
      <c r="D18">
        <v>59346.6</v>
      </c>
      <c r="E18">
        <v>53402</v>
      </c>
      <c r="F18">
        <v>50550.5</v>
      </c>
      <c r="G18">
        <v>66137.100000000006</v>
      </c>
      <c r="H18">
        <v>86654.7</v>
      </c>
      <c r="I18">
        <v>100119.5</v>
      </c>
      <c r="J18">
        <v>108718.3</v>
      </c>
      <c r="K18">
        <v>134848</v>
      </c>
    </row>
    <row r="19" spans="1:11" s="6" customFormat="1" x14ac:dyDescent="0.25">
      <c r="A19" s="2" t="s">
        <v>14</v>
      </c>
      <c r="B19">
        <v>379.3</v>
      </c>
      <c r="C19">
        <v>-40.799999999999997</v>
      </c>
      <c r="D19">
        <v>-211.6</v>
      </c>
      <c r="E19">
        <v>238.7</v>
      </c>
      <c r="F19">
        <v>-273.60000000000002</v>
      </c>
      <c r="G19">
        <v>93.1</v>
      </c>
      <c r="H19">
        <v>403.9</v>
      </c>
      <c r="I19">
        <v>378.6</v>
      </c>
      <c r="J19">
        <v>1227.5</v>
      </c>
      <c r="K19">
        <v>2272.5</v>
      </c>
    </row>
    <row r="20" spans="1:11" s="6" customFormat="1" x14ac:dyDescent="0.25">
      <c r="A20" s="2" t="s">
        <v>15</v>
      </c>
      <c r="B20">
        <v>518.6</v>
      </c>
      <c r="C20">
        <v>673.4</v>
      </c>
      <c r="D20">
        <v>863.3</v>
      </c>
      <c r="E20">
        <v>699.5</v>
      </c>
      <c r="F20">
        <v>476.6</v>
      </c>
      <c r="G20">
        <v>630.9</v>
      </c>
      <c r="H20">
        <v>790</v>
      </c>
      <c r="I20">
        <v>1033.4000000000001</v>
      </c>
      <c r="J20">
        <v>1052.5999999999999</v>
      </c>
    </row>
    <row r="21" spans="1:11" s="6" customFormat="1" x14ac:dyDescent="0.25">
      <c r="A21" s="2" t="s">
        <v>16</v>
      </c>
      <c r="B21">
        <v>382.9</v>
      </c>
      <c r="C21">
        <v>462.1</v>
      </c>
      <c r="D21">
        <v>475.7</v>
      </c>
      <c r="E21">
        <v>378.1</v>
      </c>
      <c r="F21">
        <v>683.3</v>
      </c>
      <c r="G21">
        <v>852.5</v>
      </c>
      <c r="H21">
        <v>1120.7</v>
      </c>
      <c r="I21">
        <v>939.3</v>
      </c>
      <c r="J21">
        <v>1994.4</v>
      </c>
    </row>
    <row r="22" spans="1:11" s="6" customFormat="1" x14ac:dyDescent="0.25">
      <c r="A22" s="2" t="s">
        <v>17</v>
      </c>
      <c r="B22">
        <v>2360.3000000000002</v>
      </c>
      <c r="C22">
        <v>2863.4</v>
      </c>
      <c r="D22">
        <v>3285</v>
      </c>
      <c r="E22">
        <v>3416.2</v>
      </c>
      <c r="F22">
        <v>3431.6</v>
      </c>
      <c r="G22">
        <v>4051.4</v>
      </c>
      <c r="H22">
        <v>4634.6000000000004</v>
      </c>
      <c r="I22">
        <v>6301.6</v>
      </c>
      <c r="J22">
        <v>7026</v>
      </c>
      <c r="K22">
        <v>9049.7000000000007</v>
      </c>
    </row>
    <row r="23" spans="1:11" s="6" customFormat="1" x14ac:dyDescent="0.25">
      <c r="A23" s="2" t="s">
        <v>18</v>
      </c>
      <c r="B23">
        <v>6111.3</v>
      </c>
      <c r="C23">
        <v>6755.3</v>
      </c>
      <c r="D23">
        <v>8390.2999999999993</v>
      </c>
      <c r="E23">
        <v>8456.2999999999993</v>
      </c>
      <c r="F23">
        <v>7924</v>
      </c>
      <c r="G23">
        <v>9119.1</v>
      </c>
      <c r="H23">
        <v>11695</v>
      </c>
      <c r="I23">
        <v>12082.6</v>
      </c>
      <c r="J23">
        <v>11523.3</v>
      </c>
    </row>
    <row r="24" spans="1:11" s="6" customFormat="1" x14ac:dyDescent="0.25">
      <c r="A24" s="2" t="s">
        <v>19</v>
      </c>
      <c r="B24">
        <v>1548.4</v>
      </c>
      <c r="C24">
        <v>1951.2</v>
      </c>
      <c r="D24">
        <v>2439.6999999999998</v>
      </c>
      <c r="E24">
        <v>2191.6</v>
      </c>
      <c r="F24">
        <v>1621.8</v>
      </c>
      <c r="G24">
        <v>1879.9</v>
      </c>
      <c r="H24">
        <v>2051</v>
      </c>
      <c r="I24">
        <v>3134.1</v>
      </c>
      <c r="J24">
        <v>3602.3</v>
      </c>
      <c r="K24">
        <v>20234.599999999999</v>
      </c>
    </row>
    <row r="25" spans="1:11" s="6" customFormat="1" x14ac:dyDescent="0.25">
      <c r="A25" s="6" t="s">
        <v>20</v>
      </c>
      <c r="B25">
        <v>2399.1999999999998</v>
      </c>
      <c r="C25">
        <v>2154.6</v>
      </c>
      <c r="D25">
        <v>2664.2</v>
      </c>
      <c r="E25">
        <v>3410.4</v>
      </c>
      <c r="F25">
        <v>3046.3</v>
      </c>
      <c r="G25">
        <v>1860.8</v>
      </c>
      <c r="H25">
        <v>2306.6</v>
      </c>
      <c r="I25">
        <v>4247.6000000000004</v>
      </c>
      <c r="J25">
        <v>5198.8</v>
      </c>
      <c r="K25">
        <v>4642.7</v>
      </c>
    </row>
    <row r="26" spans="1:11" s="6" customFormat="1" x14ac:dyDescent="0.25">
      <c r="A26" s="6" t="s">
        <v>21</v>
      </c>
      <c r="B26">
        <v>2603.9</v>
      </c>
      <c r="C26">
        <v>2759.8</v>
      </c>
      <c r="D26">
        <v>3020.8</v>
      </c>
      <c r="E26">
        <v>3528.4</v>
      </c>
      <c r="F26">
        <v>3034.1</v>
      </c>
      <c r="G26">
        <v>2789</v>
      </c>
      <c r="H26">
        <v>2825.7</v>
      </c>
      <c r="I26">
        <v>5255.8</v>
      </c>
      <c r="J26">
        <v>5608.2</v>
      </c>
      <c r="K26">
        <v>6741.7</v>
      </c>
    </row>
    <row r="27" spans="1:11" s="6" customFormat="1" x14ac:dyDescent="0.25">
      <c r="A27" s="6" t="s">
        <v>22</v>
      </c>
      <c r="B27">
        <v>89.4</v>
      </c>
      <c r="C27">
        <v>345.8</v>
      </c>
      <c r="D27">
        <v>75.900000000000006</v>
      </c>
      <c r="E27">
        <v>134.19999999999999</v>
      </c>
      <c r="F27">
        <v>101.8</v>
      </c>
      <c r="G27">
        <v>126.6</v>
      </c>
      <c r="H27">
        <v>187</v>
      </c>
      <c r="I27">
        <v>193.6</v>
      </c>
      <c r="J27">
        <v>194.2</v>
      </c>
      <c r="K27">
        <v>238.7</v>
      </c>
    </row>
    <row r="28" spans="1:11" s="6" customFormat="1" x14ac:dyDescent="0.25">
      <c r="A28" s="6" t="s">
        <v>23</v>
      </c>
      <c r="B28">
        <v>10127.200000000001</v>
      </c>
      <c r="C28">
        <v>11166.9</v>
      </c>
      <c r="D28">
        <v>10623.8</v>
      </c>
      <c r="E28">
        <v>7102.8</v>
      </c>
      <c r="F28">
        <v>5321</v>
      </c>
      <c r="G28">
        <v>4697.2</v>
      </c>
      <c r="H28">
        <v>10323.1</v>
      </c>
      <c r="I28">
        <v>17424.5</v>
      </c>
      <c r="J28">
        <v>19620</v>
      </c>
      <c r="K28">
        <v>19118.5</v>
      </c>
    </row>
    <row r="29" spans="1:11" s="6" customFormat="1" x14ac:dyDescent="0.25">
      <c r="A29" s="6" t="s">
        <v>24</v>
      </c>
      <c r="B29">
        <v>2616.1999999999998</v>
      </c>
      <c r="C29">
        <v>3286.2</v>
      </c>
      <c r="D29">
        <v>2973.2</v>
      </c>
      <c r="E29">
        <v>1425.2</v>
      </c>
      <c r="F29">
        <v>931.9</v>
      </c>
      <c r="G29">
        <v>817.7</v>
      </c>
      <c r="H29">
        <v>2112.1</v>
      </c>
      <c r="I29">
        <v>3936.3</v>
      </c>
      <c r="J29">
        <v>5119.8</v>
      </c>
      <c r="K29">
        <v>4439</v>
      </c>
    </row>
    <row r="30" spans="1:11" s="6" customFormat="1" x14ac:dyDescent="0.25">
      <c r="A30" s="6" t="s">
        <v>25</v>
      </c>
      <c r="B30">
        <v>7509.9</v>
      </c>
      <c r="C30">
        <v>7880</v>
      </c>
      <c r="D30">
        <v>7649.1</v>
      </c>
      <c r="E30">
        <v>5676</v>
      </c>
      <c r="F30">
        <v>4389.1000000000004</v>
      </c>
      <c r="G30">
        <v>3879.5</v>
      </c>
      <c r="H30">
        <v>8211</v>
      </c>
      <c r="I30">
        <v>13488.2</v>
      </c>
      <c r="J30">
        <v>14500.2</v>
      </c>
      <c r="K30">
        <v>14679.5</v>
      </c>
    </row>
    <row r="31" spans="1:11" s="6" customFormat="1" x14ac:dyDescent="0.25">
      <c r="A31" s="6" t="s">
        <v>26</v>
      </c>
      <c r="B31">
        <v>2265</v>
      </c>
      <c r="C31">
        <v>2416</v>
      </c>
      <c r="D31">
        <v>2416</v>
      </c>
      <c r="E31">
        <v>1812</v>
      </c>
      <c r="F31">
        <v>1359</v>
      </c>
      <c r="G31">
        <v>1812</v>
      </c>
      <c r="H31">
        <v>2718</v>
      </c>
      <c r="I31">
        <v>3930</v>
      </c>
      <c r="J31">
        <v>4244.3999999999996</v>
      </c>
      <c r="K31">
        <v>4401.6000000000004</v>
      </c>
    </row>
    <row r="32" spans="1:11" s="6" customFormat="1" ht="15" x14ac:dyDescent="0.25"/>
    <row r="33" spans="1:11" x14ac:dyDescent="0.25">
      <c r="A33" s="6"/>
    </row>
    <row r="34" spans="1:11" x14ac:dyDescent="0.25">
      <c r="A34" s="6"/>
    </row>
    <row r="35" spans="1:11" x14ac:dyDescent="0.25">
      <c r="A35" s="6"/>
    </row>
    <row r="36" spans="1:11" x14ac:dyDescent="0.25">
      <c r="A36" s="6"/>
    </row>
    <row r="37" spans="1:11" x14ac:dyDescent="0.25">
      <c r="A37" s="6"/>
    </row>
    <row r="38" spans="1:11" x14ac:dyDescent="0.25">
      <c r="A38" s="6"/>
    </row>
    <row r="39" spans="1:11" x14ac:dyDescent="0.25">
      <c r="A39" s="6"/>
    </row>
    <row r="40" spans="1:11" x14ac:dyDescent="0.25">
      <c r="A40" s="1" t="s">
        <v>27</v>
      </c>
    </row>
    <row r="41" spans="1:11" s="5" customFormat="1" ht="15" x14ac:dyDescent="0.25">
      <c r="A41" s="3" t="s">
        <v>11</v>
      </c>
      <c r="B41" s="4">
        <v>45291</v>
      </c>
      <c r="C41" s="4">
        <v>45382</v>
      </c>
      <c r="D41" s="4">
        <v>45473</v>
      </c>
      <c r="E41" s="4">
        <v>45565</v>
      </c>
      <c r="F41" s="4">
        <v>45657</v>
      </c>
      <c r="G41" s="4">
        <v>45747</v>
      </c>
      <c r="H41" s="4">
        <v>45838</v>
      </c>
      <c r="I41" s="4">
        <v>45930</v>
      </c>
      <c r="J41" s="4">
        <v>46022</v>
      </c>
      <c r="K41" s="4">
        <v>46112</v>
      </c>
    </row>
    <row r="42" spans="1:11" s="6" customFormat="1" x14ac:dyDescent="0.25">
      <c r="A42" s="6" t="s">
        <v>12</v>
      </c>
      <c r="B42">
        <v>33512.800000000003</v>
      </c>
      <c r="C42">
        <v>38471.199999999997</v>
      </c>
      <c r="D42">
        <v>35779.4</v>
      </c>
      <c r="E42">
        <v>37449.199999999997</v>
      </c>
      <c r="F42">
        <v>38764.300000000003</v>
      </c>
      <c r="G42">
        <v>40920.1</v>
      </c>
      <c r="H42">
        <v>38605.199999999997</v>
      </c>
      <c r="I42">
        <v>42344.2</v>
      </c>
      <c r="J42">
        <v>49904.1</v>
      </c>
      <c r="K42">
        <v>52462.5</v>
      </c>
    </row>
    <row r="43" spans="1:11" s="6" customFormat="1" x14ac:dyDescent="0.25">
      <c r="A43" s="6" t="s">
        <v>28</v>
      </c>
      <c r="B43">
        <v>29072.799999999999</v>
      </c>
      <c r="C43">
        <v>33250.1</v>
      </c>
      <c r="D43">
        <v>30672.799999999999</v>
      </c>
      <c r="E43">
        <v>32450.400000000001</v>
      </c>
      <c r="F43">
        <v>33687.800000000003</v>
      </c>
      <c r="G43">
        <v>36076.1</v>
      </c>
      <c r="H43">
        <v>33982.6</v>
      </c>
      <c r="I43">
        <v>37258.199999999997</v>
      </c>
      <c r="J43">
        <v>44331</v>
      </c>
      <c r="K43">
        <v>46304.2</v>
      </c>
    </row>
    <row r="44" spans="1:11" s="6" customFormat="1" x14ac:dyDescent="0.25">
      <c r="A44" s="6" t="s">
        <v>20</v>
      </c>
      <c r="B44">
        <v>1052.9000000000001</v>
      </c>
      <c r="C44">
        <v>1261</v>
      </c>
      <c r="D44">
        <v>1118.0999999999999</v>
      </c>
      <c r="E44">
        <v>1570.5</v>
      </c>
      <c r="F44">
        <v>1124.8</v>
      </c>
      <c r="G44">
        <v>1583.1</v>
      </c>
      <c r="H44">
        <v>1923.7</v>
      </c>
      <c r="I44">
        <v>1013.5</v>
      </c>
      <c r="J44">
        <v>1140.5</v>
      </c>
      <c r="K44">
        <v>581.20000000000005</v>
      </c>
    </row>
    <row r="45" spans="1:11" s="6" customFormat="1" x14ac:dyDescent="0.25">
      <c r="A45" s="6" t="s">
        <v>21</v>
      </c>
      <c r="B45">
        <v>1301.5</v>
      </c>
      <c r="C45">
        <v>1298.3</v>
      </c>
      <c r="D45">
        <v>1331.7</v>
      </c>
      <c r="E45">
        <v>1385.7</v>
      </c>
      <c r="F45">
        <v>1429</v>
      </c>
      <c r="G45">
        <v>1461.8</v>
      </c>
      <c r="H45">
        <v>1556</v>
      </c>
      <c r="I45">
        <v>1703</v>
      </c>
      <c r="J45">
        <v>1734.6</v>
      </c>
      <c r="K45">
        <v>1748.1</v>
      </c>
    </row>
    <row r="46" spans="1:11" s="6" customFormat="1" x14ac:dyDescent="0.25">
      <c r="A46" s="6" t="s">
        <v>22</v>
      </c>
      <c r="B46">
        <v>35.799999999999997</v>
      </c>
      <c r="C46">
        <v>76.2</v>
      </c>
      <c r="D46">
        <v>57.3</v>
      </c>
      <c r="E46">
        <v>43</v>
      </c>
      <c r="F46">
        <v>46.3</v>
      </c>
      <c r="G46">
        <v>47.6</v>
      </c>
      <c r="H46">
        <v>46.8</v>
      </c>
      <c r="I46">
        <v>57.2</v>
      </c>
      <c r="J46">
        <v>61.7</v>
      </c>
      <c r="K46">
        <v>73</v>
      </c>
    </row>
    <row r="47" spans="1:11" s="6" customFormat="1" x14ac:dyDescent="0.25">
      <c r="A47" s="6" t="s">
        <v>23</v>
      </c>
      <c r="B47">
        <v>4155.6000000000004</v>
      </c>
      <c r="C47">
        <v>5107.6000000000004</v>
      </c>
      <c r="D47">
        <v>4835.7</v>
      </c>
      <c r="E47">
        <v>5140.6000000000004</v>
      </c>
      <c r="F47">
        <v>4726</v>
      </c>
      <c r="G47">
        <v>4917.7</v>
      </c>
      <c r="H47">
        <v>4943.5</v>
      </c>
      <c r="I47">
        <v>4339.3</v>
      </c>
      <c r="J47">
        <v>4917.3</v>
      </c>
      <c r="K47">
        <v>4918.3999999999996</v>
      </c>
    </row>
    <row r="48" spans="1:11" s="6" customFormat="1" x14ac:dyDescent="0.25">
      <c r="A48" s="6" t="s">
        <v>24</v>
      </c>
      <c r="B48">
        <v>948.8</v>
      </c>
      <c r="C48">
        <v>1155.3</v>
      </c>
      <c r="D48">
        <v>1076</v>
      </c>
      <c r="E48">
        <v>2038.1</v>
      </c>
      <c r="F48">
        <v>999.1</v>
      </c>
      <c r="G48">
        <v>1006.6</v>
      </c>
      <c r="H48">
        <v>1151.0999999999999</v>
      </c>
      <c r="I48">
        <v>990.3</v>
      </c>
      <c r="J48">
        <v>1038.2</v>
      </c>
      <c r="K48">
        <v>1259.4000000000001</v>
      </c>
    </row>
    <row r="49" spans="1:11" s="6" customFormat="1" x14ac:dyDescent="0.25">
      <c r="A49" s="6" t="s">
        <v>25</v>
      </c>
      <c r="B49">
        <v>3206.8</v>
      </c>
      <c r="C49">
        <v>3952.3</v>
      </c>
      <c r="D49">
        <v>3759.7</v>
      </c>
      <c r="E49">
        <v>3102.5</v>
      </c>
      <c r="F49">
        <v>3726.9</v>
      </c>
      <c r="G49">
        <v>3911.1</v>
      </c>
      <c r="H49">
        <v>3792.4</v>
      </c>
      <c r="I49">
        <v>3349</v>
      </c>
      <c r="J49">
        <v>3879.1</v>
      </c>
      <c r="K49">
        <v>3659</v>
      </c>
    </row>
    <row r="50" spans="1:11" x14ac:dyDescent="0.25">
      <c r="A50" s="6" t="s">
        <v>29</v>
      </c>
      <c r="B50">
        <v>4440</v>
      </c>
      <c r="C50">
        <v>5221.1000000000004</v>
      </c>
      <c r="D50">
        <v>5106.6000000000004</v>
      </c>
      <c r="E50">
        <v>4998.8</v>
      </c>
      <c r="F50">
        <v>5076.5</v>
      </c>
      <c r="G50">
        <v>4844</v>
      </c>
      <c r="H50">
        <v>4622.6000000000004</v>
      </c>
      <c r="I50">
        <v>5086</v>
      </c>
      <c r="J50">
        <v>5573.1</v>
      </c>
      <c r="K50">
        <v>6158.3</v>
      </c>
    </row>
    <row r="51" spans="1:11" x14ac:dyDescent="0.25">
      <c r="A51" s="6"/>
    </row>
    <row r="52" spans="1:11" x14ac:dyDescent="0.25">
      <c r="A52" s="6"/>
    </row>
    <row r="53" spans="1:11" x14ac:dyDescent="0.25">
      <c r="A53" s="6"/>
    </row>
    <row r="54" spans="1:11" x14ac:dyDescent="0.25">
      <c r="A54" s="6"/>
    </row>
    <row r="55" spans="1:11" x14ac:dyDescent="0.25">
      <c r="A55" s="1" t="s">
        <v>30</v>
      </c>
    </row>
    <row r="56" spans="1:11" s="5" customFormat="1" ht="15" x14ac:dyDescent="0.25">
      <c r="A56" s="3" t="s">
        <v>11</v>
      </c>
      <c r="B56" s="4">
        <v>42825</v>
      </c>
      <c r="C56" s="4">
        <v>43190</v>
      </c>
      <c r="D56" s="4">
        <v>43555</v>
      </c>
      <c r="E56" s="4">
        <v>43921</v>
      </c>
      <c r="F56" s="4">
        <v>44286</v>
      </c>
      <c r="G56" s="4">
        <v>44651</v>
      </c>
      <c r="H56" s="4">
        <v>45016</v>
      </c>
      <c r="I56" s="4">
        <v>45382</v>
      </c>
      <c r="J56" s="4">
        <v>45747</v>
      </c>
      <c r="K56" s="4">
        <v>46112</v>
      </c>
    </row>
    <row r="57" spans="1:11" x14ac:dyDescent="0.25">
      <c r="A57" s="6" t="s">
        <v>31</v>
      </c>
      <c r="B57">
        <v>151</v>
      </c>
      <c r="C57">
        <v>151</v>
      </c>
      <c r="D57">
        <v>151</v>
      </c>
      <c r="E57">
        <v>151</v>
      </c>
      <c r="F57">
        <v>151</v>
      </c>
      <c r="G57">
        <v>151</v>
      </c>
      <c r="H57">
        <v>151</v>
      </c>
      <c r="I57">
        <v>157.19999999999999</v>
      </c>
      <c r="J57">
        <v>157.19999999999999</v>
      </c>
      <c r="K57">
        <v>157.19999999999999</v>
      </c>
    </row>
    <row r="58" spans="1:11" x14ac:dyDescent="0.25">
      <c r="A58" s="6" t="s">
        <v>32</v>
      </c>
      <c r="B58">
        <v>36924.1</v>
      </c>
      <c r="C58">
        <v>42408.4</v>
      </c>
      <c r="D58">
        <v>46941.1</v>
      </c>
      <c r="E58">
        <v>49262</v>
      </c>
      <c r="F58">
        <v>52349.599999999999</v>
      </c>
      <c r="G58">
        <v>55182.5</v>
      </c>
      <c r="H58">
        <v>61640.3</v>
      </c>
      <c r="I58">
        <v>85478.8</v>
      </c>
      <c r="J58">
        <v>96082.7</v>
      </c>
      <c r="K58">
        <v>106999.1</v>
      </c>
    </row>
    <row r="59" spans="1:11" x14ac:dyDescent="0.25">
      <c r="A59" s="6" t="s">
        <v>33</v>
      </c>
      <c r="B59">
        <v>483.6</v>
      </c>
      <c r="C59">
        <v>120.8</v>
      </c>
      <c r="D59">
        <v>159.6</v>
      </c>
      <c r="E59">
        <v>184.1</v>
      </c>
      <c r="F59">
        <v>540.9</v>
      </c>
      <c r="G59">
        <v>425.5</v>
      </c>
      <c r="H59">
        <v>1247.3</v>
      </c>
      <c r="I59">
        <v>118.6</v>
      </c>
      <c r="J59">
        <v>87</v>
      </c>
      <c r="K59">
        <v>102.5</v>
      </c>
    </row>
    <row r="60" spans="1:11" x14ac:dyDescent="0.25">
      <c r="A60" s="6" t="s">
        <v>34</v>
      </c>
      <c r="B60">
        <v>14401.8</v>
      </c>
      <c r="C60">
        <v>17568.2</v>
      </c>
      <c r="D60">
        <v>16717</v>
      </c>
      <c r="E60">
        <v>14030.6</v>
      </c>
      <c r="F60">
        <v>18334.599999999999</v>
      </c>
      <c r="G60">
        <v>18896.5</v>
      </c>
      <c r="H60">
        <v>21558.3</v>
      </c>
      <c r="I60">
        <v>29549.5</v>
      </c>
      <c r="J60">
        <v>35644.300000000003</v>
      </c>
      <c r="K60">
        <v>41622.199999999997</v>
      </c>
    </row>
    <row r="61" spans="1:11" s="1" customFormat="1" x14ac:dyDescent="0.25">
      <c r="A61" s="1" t="s">
        <v>35</v>
      </c>
      <c r="B61">
        <v>51960.5</v>
      </c>
      <c r="C61">
        <v>60248.4</v>
      </c>
      <c r="D61">
        <v>63968.7</v>
      </c>
      <c r="E61">
        <v>63627.7</v>
      </c>
      <c r="F61">
        <v>71376.100000000006</v>
      </c>
      <c r="G61">
        <v>74655.5</v>
      </c>
      <c r="H61">
        <v>84596.9</v>
      </c>
      <c r="I61">
        <v>115304.1</v>
      </c>
      <c r="J61">
        <v>131971.20000000001</v>
      </c>
      <c r="K61">
        <v>148881</v>
      </c>
    </row>
    <row r="62" spans="1:11" x14ac:dyDescent="0.25">
      <c r="A62" s="6" t="s">
        <v>36</v>
      </c>
      <c r="B62">
        <v>13310.7</v>
      </c>
      <c r="C62">
        <v>13388.8</v>
      </c>
      <c r="D62">
        <v>15437.3</v>
      </c>
      <c r="E62">
        <v>15744.4</v>
      </c>
      <c r="F62">
        <v>14988.7</v>
      </c>
      <c r="G62">
        <v>13747.2</v>
      </c>
      <c r="H62">
        <v>17830.400000000001</v>
      </c>
      <c r="I62">
        <v>27864.799999999999</v>
      </c>
      <c r="J62">
        <v>32982.699999999997</v>
      </c>
      <c r="K62">
        <v>34955.4</v>
      </c>
    </row>
    <row r="63" spans="1:11" x14ac:dyDescent="0.25">
      <c r="A63" s="6" t="s">
        <v>37</v>
      </c>
      <c r="B63">
        <v>1252.3</v>
      </c>
      <c r="C63">
        <v>2132.1</v>
      </c>
      <c r="D63">
        <v>1606.9</v>
      </c>
      <c r="E63">
        <v>1415.2</v>
      </c>
      <c r="F63">
        <v>1496.8</v>
      </c>
      <c r="G63">
        <v>2936.5</v>
      </c>
      <c r="H63">
        <v>2904.1</v>
      </c>
      <c r="I63">
        <v>7734.8</v>
      </c>
      <c r="J63">
        <v>7929</v>
      </c>
      <c r="K63">
        <v>9406.2000000000007</v>
      </c>
    </row>
    <row r="64" spans="1:11" x14ac:dyDescent="0.25">
      <c r="A64" s="6" t="s">
        <v>38</v>
      </c>
      <c r="B64">
        <v>29150.6</v>
      </c>
      <c r="C64">
        <v>36123.1</v>
      </c>
      <c r="D64">
        <v>37503.599999999999</v>
      </c>
      <c r="E64">
        <v>37488</v>
      </c>
      <c r="F64">
        <v>42944.800000000003</v>
      </c>
      <c r="G64">
        <v>42034.7</v>
      </c>
      <c r="H64">
        <v>49184.3</v>
      </c>
      <c r="I64">
        <v>57296</v>
      </c>
      <c r="J64">
        <v>66265.399999999994</v>
      </c>
      <c r="K64">
        <v>76838.5</v>
      </c>
    </row>
    <row r="65" spans="1:11" x14ac:dyDescent="0.25">
      <c r="A65" s="6" t="s">
        <v>39</v>
      </c>
      <c r="B65">
        <v>8246.9</v>
      </c>
      <c r="C65">
        <v>8604.4</v>
      </c>
      <c r="D65">
        <v>9420.9</v>
      </c>
      <c r="E65">
        <v>8980.1</v>
      </c>
      <c r="F65">
        <v>11945.8</v>
      </c>
      <c r="G65">
        <v>15937.1</v>
      </c>
      <c r="H65">
        <v>14678.1</v>
      </c>
      <c r="I65">
        <v>22408.5</v>
      </c>
      <c r="J65">
        <v>24794.1</v>
      </c>
      <c r="K65">
        <v>27680.9</v>
      </c>
    </row>
    <row r="66" spans="1:11" s="1" customFormat="1" x14ac:dyDescent="0.25">
      <c r="A66" s="1" t="s">
        <v>35</v>
      </c>
      <c r="B66">
        <v>51960.5</v>
      </c>
      <c r="C66">
        <v>60248.4</v>
      </c>
      <c r="D66">
        <v>63968.7</v>
      </c>
      <c r="E66">
        <v>63627.7</v>
      </c>
      <c r="F66">
        <v>71376.100000000006</v>
      </c>
      <c r="G66">
        <v>74655.5</v>
      </c>
      <c r="H66">
        <v>84596.9</v>
      </c>
      <c r="I66">
        <v>115304.1</v>
      </c>
      <c r="J66">
        <v>131971.20000000001</v>
      </c>
      <c r="K66">
        <v>148881</v>
      </c>
    </row>
    <row r="67" spans="1:11" s="6" customFormat="1" x14ac:dyDescent="0.25">
      <c r="A67" s="6" t="s">
        <v>40</v>
      </c>
      <c r="B67">
        <v>1202.5999999999999</v>
      </c>
      <c r="C67">
        <v>1465.4</v>
      </c>
      <c r="D67">
        <v>2312.8000000000002</v>
      </c>
      <c r="E67">
        <v>1977.7</v>
      </c>
      <c r="F67">
        <v>1279.9000000000001</v>
      </c>
      <c r="G67">
        <v>2034.5</v>
      </c>
      <c r="H67">
        <v>3301.4</v>
      </c>
      <c r="I67">
        <v>4596.8</v>
      </c>
      <c r="J67">
        <v>6539.7</v>
      </c>
      <c r="K67">
        <v>5342</v>
      </c>
    </row>
    <row r="68" spans="1:11" x14ac:dyDescent="0.25">
      <c r="A68" s="6" t="s">
        <v>41</v>
      </c>
      <c r="B68">
        <v>3263.7</v>
      </c>
      <c r="C68">
        <v>3160.2</v>
      </c>
      <c r="D68">
        <v>3322.6</v>
      </c>
      <c r="E68">
        <v>3213.9</v>
      </c>
      <c r="F68">
        <v>3049</v>
      </c>
      <c r="G68">
        <v>3532.3</v>
      </c>
      <c r="H68">
        <v>4283.5</v>
      </c>
      <c r="I68">
        <v>5318.1</v>
      </c>
      <c r="J68">
        <v>6913.2</v>
      </c>
      <c r="K68">
        <v>11320.6</v>
      </c>
    </row>
    <row r="69" spans="1:11" x14ac:dyDescent="0.25">
      <c r="A69" s="2" t="s">
        <v>42</v>
      </c>
      <c r="B69">
        <v>23.5</v>
      </c>
      <c r="C69">
        <v>74</v>
      </c>
      <c r="D69">
        <v>187.8</v>
      </c>
      <c r="E69">
        <v>29</v>
      </c>
      <c r="F69">
        <v>3047.1</v>
      </c>
      <c r="G69">
        <v>3042.2</v>
      </c>
      <c r="H69">
        <v>41.6</v>
      </c>
      <c r="I69">
        <v>2827.4</v>
      </c>
      <c r="J69">
        <v>552.9</v>
      </c>
      <c r="K69">
        <v>1580</v>
      </c>
    </row>
    <row r="70" spans="1:11" x14ac:dyDescent="0.25">
      <c r="A70" s="2" t="s">
        <v>43</v>
      </c>
      <c r="B70">
        <v>302080060</v>
      </c>
      <c r="C70">
        <v>302080060</v>
      </c>
      <c r="D70">
        <v>302080060</v>
      </c>
      <c r="E70">
        <v>302080060</v>
      </c>
      <c r="F70">
        <v>302080060</v>
      </c>
      <c r="G70">
        <v>302080060</v>
      </c>
      <c r="H70">
        <v>302080060</v>
      </c>
      <c r="I70">
        <v>314402574</v>
      </c>
      <c r="J70">
        <v>314402574</v>
      </c>
    </row>
    <row r="71" spans="1:11" x14ac:dyDescent="0.25">
      <c r="A71" s="2" t="s">
        <v>44</v>
      </c>
    </row>
    <row r="72" spans="1:11" x14ac:dyDescent="0.25">
      <c r="A72" s="2" t="s">
        <v>45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25">
      <c r="A74" s="6"/>
    </row>
    <row r="75" spans="1:11" x14ac:dyDescent="0.25">
      <c r="A75" s="6"/>
    </row>
    <row r="76" spans="1:11" x14ac:dyDescent="0.25">
      <c r="A76" s="6"/>
    </row>
    <row r="77" spans="1:11" x14ac:dyDescent="0.25">
      <c r="A77" s="6"/>
    </row>
    <row r="78" spans="1:11" x14ac:dyDescent="0.25">
      <c r="A78" s="6"/>
    </row>
    <row r="79" spans="1:11" x14ac:dyDescent="0.25">
      <c r="A79" s="6"/>
    </row>
    <row r="80" spans="1:11" x14ac:dyDescent="0.25">
      <c r="A80" s="1" t="s">
        <v>46</v>
      </c>
    </row>
    <row r="81" spans="1:11" s="5" customFormat="1" ht="15" x14ac:dyDescent="0.25">
      <c r="A81" s="3" t="s">
        <v>11</v>
      </c>
      <c r="B81" s="4">
        <v>42825</v>
      </c>
      <c r="C81" s="4">
        <v>43190</v>
      </c>
      <c r="D81" s="4">
        <v>43555</v>
      </c>
      <c r="E81" s="4">
        <v>43921</v>
      </c>
      <c r="F81" s="4">
        <v>44286</v>
      </c>
      <c r="G81" s="4">
        <v>44651</v>
      </c>
      <c r="H81" s="4">
        <v>45016</v>
      </c>
      <c r="I81" s="4">
        <v>45382</v>
      </c>
      <c r="J81" s="4">
        <v>45747</v>
      </c>
      <c r="K81" s="4">
        <v>46112</v>
      </c>
    </row>
    <row r="82" spans="1:11" s="1" customFormat="1" x14ac:dyDescent="0.25">
      <c r="A82" s="6" t="s">
        <v>47</v>
      </c>
      <c r="B82">
        <v>10282</v>
      </c>
      <c r="C82">
        <v>11787.9</v>
      </c>
      <c r="D82">
        <v>6600.9</v>
      </c>
      <c r="E82">
        <v>3495.8</v>
      </c>
      <c r="F82">
        <v>8856.2000000000007</v>
      </c>
      <c r="G82">
        <v>1840.5</v>
      </c>
      <c r="H82">
        <v>9251.4</v>
      </c>
      <c r="I82">
        <v>16801.099999999999</v>
      </c>
      <c r="J82">
        <v>16136.2</v>
      </c>
      <c r="K82">
        <v>19099.900000000001</v>
      </c>
    </row>
    <row r="83" spans="1:11" s="6" customFormat="1" x14ac:dyDescent="0.25">
      <c r="A83" s="6" t="s">
        <v>48</v>
      </c>
      <c r="B83">
        <v>-9173.2000000000007</v>
      </c>
      <c r="C83">
        <v>-8301.7000000000007</v>
      </c>
      <c r="D83">
        <v>-3539.9</v>
      </c>
      <c r="E83">
        <v>-556.6</v>
      </c>
      <c r="F83">
        <v>-7291.3</v>
      </c>
      <c r="G83">
        <v>-239.2</v>
      </c>
      <c r="H83">
        <v>-8036.1</v>
      </c>
      <c r="I83">
        <v>-11864.8</v>
      </c>
      <c r="J83">
        <v>-14456.1</v>
      </c>
      <c r="K83">
        <v>-14733.5</v>
      </c>
    </row>
    <row r="84" spans="1:11" s="6" customFormat="1" x14ac:dyDescent="0.25">
      <c r="A84" s="6" t="s">
        <v>49</v>
      </c>
      <c r="B84">
        <v>-1129.3</v>
      </c>
      <c r="C84">
        <v>-3436.1</v>
      </c>
      <c r="D84">
        <v>-2947.9</v>
      </c>
      <c r="E84">
        <v>-3104.3</v>
      </c>
      <c r="F84">
        <v>-1544.9</v>
      </c>
      <c r="G84">
        <v>-1607</v>
      </c>
      <c r="H84">
        <v>-1213.0999999999999</v>
      </c>
      <c r="I84">
        <v>-4062</v>
      </c>
      <c r="J84">
        <v>-4155.1000000000004</v>
      </c>
      <c r="K84">
        <v>-4484</v>
      </c>
    </row>
    <row r="85" spans="1:11" s="1" customFormat="1" x14ac:dyDescent="0.25">
      <c r="A85" s="6" t="s">
        <v>50</v>
      </c>
      <c r="B85">
        <v>-20.5</v>
      </c>
      <c r="C85">
        <v>50.1</v>
      </c>
      <c r="D85">
        <v>113.1</v>
      </c>
      <c r="E85">
        <v>-165.1</v>
      </c>
      <c r="F85">
        <v>20</v>
      </c>
      <c r="G85">
        <v>-5.7</v>
      </c>
      <c r="H85">
        <v>2.2000000000000002</v>
      </c>
      <c r="I85">
        <v>874.3</v>
      </c>
      <c r="J85">
        <v>-2475</v>
      </c>
      <c r="K85">
        <v>-117.6</v>
      </c>
    </row>
    <row r="86" spans="1:11" x14ac:dyDescent="0.25">
      <c r="A86" s="6"/>
    </row>
    <row r="87" spans="1:11" x14ac:dyDescent="0.25">
      <c r="A87" s="6"/>
    </row>
    <row r="88" spans="1:11" x14ac:dyDescent="0.25">
      <c r="A88" s="6"/>
    </row>
    <row r="89" spans="1:11" x14ac:dyDescent="0.25">
      <c r="A89" s="6"/>
    </row>
    <row r="90" spans="1:11" s="1" customFormat="1" x14ac:dyDescent="0.25">
      <c r="A90" s="1" t="s">
        <v>51</v>
      </c>
      <c r="B90">
        <v>6015.7</v>
      </c>
      <c r="C90">
        <v>8861.1</v>
      </c>
      <c r="D90">
        <v>6672.55</v>
      </c>
      <c r="E90">
        <v>4288.3</v>
      </c>
      <c r="F90">
        <v>6859.2</v>
      </c>
      <c r="G90">
        <v>7561.3</v>
      </c>
      <c r="H90">
        <v>8292.15</v>
      </c>
      <c r="I90">
        <v>12600.35</v>
      </c>
      <c r="J90">
        <v>11522.15</v>
      </c>
      <c r="K90">
        <v>12306</v>
      </c>
    </row>
    <row r="92" spans="1:11" s="1" customFormat="1" ht="15" x14ac:dyDescent="0.25">
      <c r="A92" s="1" t="s">
        <v>52</v>
      </c>
    </row>
    <row r="93" spans="1:11" x14ac:dyDescent="0.25">
      <c r="A93" s="2" t="s">
        <v>53</v>
      </c>
      <c r="B93" s="7">
        <v>30.21</v>
      </c>
      <c r="C93" s="7">
        <v>30.21</v>
      </c>
      <c r="D93" s="7">
        <v>30.21</v>
      </c>
      <c r="E93" s="7">
        <v>30.21</v>
      </c>
      <c r="F93" s="7">
        <v>30.21</v>
      </c>
      <c r="G93" s="7">
        <v>30.21</v>
      </c>
      <c r="H93" s="7">
        <v>30.21</v>
      </c>
      <c r="I93" s="7">
        <v>31.44</v>
      </c>
      <c r="J93" s="7">
        <v>31.44</v>
      </c>
      <c r="K93" s="7">
        <v>31.44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0"/>
  <sheetViews>
    <sheetView showGridLines="0" workbookViewId="0">
      <selection activeCell="B24" sqref="B24:B29"/>
    </sheetView>
  </sheetViews>
  <sheetFormatPr defaultRowHeight="15.75" x14ac:dyDescent="0.25"/>
  <cols>
    <col min="1" max="1" width="3.625" customWidth="1"/>
    <col min="2" max="2" width="29" style="8" customWidth="1"/>
  </cols>
  <sheetData>
    <row r="2" spans="1:14" x14ac:dyDescent="0.25">
      <c r="A2" s="8" t="s">
        <v>56</v>
      </c>
      <c r="B2" s="22" t="s">
        <v>110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ht="16.5" thickBot="1" x14ac:dyDescent="0.3">
      <c r="B3" s="27"/>
      <c r="C3" s="27">
        <v>42064</v>
      </c>
      <c r="D3" s="27">
        <v>42430</v>
      </c>
      <c r="E3" s="27">
        <v>42795</v>
      </c>
      <c r="F3" s="27">
        <v>43160</v>
      </c>
      <c r="G3" s="27">
        <v>43525</v>
      </c>
      <c r="H3" s="27">
        <v>43891</v>
      </c>
      <c r="I3" s="27">
        <v>44256</v>
      </c>
      <c r="J3" s="27">
        <v>44621</v>
      </c>
      <c r="K3" s="27">
        <v>44986</v>
      </c>
      <c r="L3" s="27">
        <v>45352</v>
      </c>
      <c r="M3" s="27">
        <v>45717</v>
      </c>
      <c r="N3" s="27">
        <v>46082</v>
      </c>
    </row>
    <row r="4" spans="1:14" x14ac:dyDescent="0.25">
      <c r="B4" t="s">
        <v>107</v>
      </c>
      <c r="C4">
        <v>6449</v>
      </c>
      <c r="D4">
        <v>8482</v>
      </c>
      <c r="E4">
        <v>10282</v>
      </c>
      <c r="F4">
        <v>11788</v>
      </c>
      <c r="G4">
        <v>6601</v>
      </c>
      <c r="H4">
        <v>3496</v>
      </c>
      <c r="I4">
        <v>8856</v>
      </c>
      <c r="J4">
        <v>1840</v>
      </c>
      <c r="K4">
        <v>9251</v>
      </c>
      <c r="L4">
        <v>16801</v>
      </c>
      <c r="M4">
        <v>16136</v>
      </c>
      <c r="N4">
        <v>19100</v>
      </c>
    </row>
    <row r="5" spans="1:14" x14ac:dyDescent="0.25">
      <c r="B5" t="s">
        <v>86</v>
      </c>
      <c r="C5">
        <v>6779</v>
      </c>
      <c r="D5">
        <v>8935</v>
      </c>
      <c r="E5">
        <v>10413</v>
      </c>
      <c r="F5">
        <v>12036</v>
      </c>
      <c r="G5">
        <v>11060</v>
      </c>
      <c r="H5">
        <v>7503</v>
      </c>
      <c r="I5">
        <v>5531</v>
      </c>
      <c r="J5">
        <v>5832</v>
      </c>
      <c r="K5">
        <v>11112</v>
      </c>
      <c r="L5">
        <v>18676</v>
      </c>
      <c r="M5">
        <v>20322</v>
      </c>
      <c r="N5">
        <v>21802</v>
      </c>
    </row>
    <row r="6" spans="1:14" x14ac:dyDescent="0.25">
      <c r="B6" t="s">
        <v>40</v>
      </c>
      <c r="C6">
        <v>345</v>
      </c>
      <c r="D6">
        <v>-204</v>
      </c>
      <c r="E6">
        <v>122</v>
      </c>
      <c r="F6">
        <v>-262</v>
      </c>
      <c r="G6">
        <v>-851</v>
      </c>
      <c r="H6">
        <v>340</v>
      </c>
      <c r="I6">
        <v>696</v>
      </c>
      <c r="J6">
        <v>-764</v>
      </c>
      <c r="K6">
        <v>-1258</v>
      </c>
      <c r="L6">
        <v>-1316</v>
      </c>
      <c r="M6">
        <v>-1969</v>
      </c>
      <c r="N6">
        <v>1236</v>
      </c>
    </row>
    <row r="7" spans="1:14" x14ac:dyDescent="0.25">
      <c r="B7" t="s">
        <v>41</v>
      </c>
      <c r="C7">
        <v>-982</v>
      </c>
      <c r="D7">
        <v>-450</v>
      </c>
      <c r="E7">
        <v>-131</v>
      </c>
      <c r="F7">
        <v>104</v>
      </c>
      <c r="G7">
        <v>-162</v>
      </c>
      <c r="H7">
        <v>109</v>
      </c>
      <c r="I7">
        <v>165</v>
      </c>
      <c r="J7">
        <v>-483</v>
      </c>
      <c r="K7">
        <v>-751</v>
      </c>
      <c r="L7">
        <v>125</v>
      </c>
      <c r="M7">
        <v>-1595</v>
      </c>
      <c r="N7">
        <v>-4407</v>
      </c>
    </row>
    <row r="8" spans="1:14" x14ac:dyDescent="0.25">
      <c r="B8" t="s">
        <v>87</v>
      </c>
      <c r="C8">
        <v>712</v>
      </c>
      <c r="D8">
        <v>1789</v>
      </c>
      <c r="E8">
        <v>979</v>
      </c>
      <c r="F8">
        <v>2128</v>
      </c>
      <c r="G8">
        <v>-858</v>
      </c>
      <c r="H8">
        <v>-2155</v>
      </c>
      <c r="I8">
        <v>2680</v>
      </c>
      <c r="J8">
        <v>-396</v>
      </c>
      <c r="K8">
        <v>2008</v>
      </c>
      <c r="L8">
        <v>3321</v>
      </c>
      <c r="M8">
        <v>3509</v>
      </c>
      <c r="N8">
        <v>5194</v>
      </c>
    </row>
    <row r="9" spans="1:14" x14ac:dyDescent="0.25">
      <c r="B9" t="s">
        <v>88</v>
      </c>
      <c r="C9">
        <v>23</v>
      </c>
      <c r="D9">
        <v>-1</v>
      </c>
      <c r="E9">
        <v>1</v>
      </c>
      <c r="F9">
        <v>0</v>
      </c>
      <c r="G9">
        <v>-13</v>
      </c>
      <c r="H9">
        <v>-1</v>
      </c>
      <c r="I9">
        <v>-6</v>
      </c>
      <c r="J9">
        <v>-8</v>
      </c>
      <c r="K9">
        <v>1</v>
      </c>
      <c r="L9">
        <v>-3</v>
      </c>
      <c r="M9">
        <v>-10</v>
      </c>
      <c r="N9">
        <v>-1</v>
      </c>
    </row>
    <row r="10" spans="1:14" x14ac:dyDescent="0.25">
      <c r="B10" t="s">
        <v>89</v>
      </c>
      <c r="C10">
        <v>648</v>
      </c>
      <c r="D10">
        <v>325</v>
      </c>
      <c r="E10">
        <v>1222</v>
      </c>
      <c r="F10">
        <v>839</v>
      </c>
      <c r="G10">
        <v>569</v>
      </c>
      <c r="H10">
        <v>-863</v>
      </c>
      <c r="I10">
        <v>801</v>
      </c>
      <c r="J10">
        <v>-1162</v>
      </c>
      <c r="K10">
        <v>374</v>
      </c>
      <c r="L10">
        <v>-406</v>
      </c>
      <c r="M10">
        <v>-313</v>
      </c>
      <c r="N10">
        <v>-387</v>
      </c>
    </row>
    <row r="11" spans="1:14" x14ac:dyDescent="0.25">
      <c r="B11" t="s">
        <v>90</v>
      </c>
      <c r="C11">
        <v>745</v>
      </c>
      <c r="D11">
        <v>1460</v>
      </c>
      <c r="E11">
        <v>2192</v>
      </c>
      <c r="F11">
        <v>2808</v>
      </c>
      <c r="G11">
        <v>-1315</v>
      </c>
      <c r="H11">
        <v>-2570</v>
      </c>
      <c r="I11">
        <v>4336</v>
      </c>
      <c r="J11">
        <v>-2813</v>
      </c>
      <c r="K11">
        <v>373</v>
      </c>
      <c r="L11">
        <v>1722</v>
      </c>
      <c r="M11">
        <v>-378</v>
      </c>
      <c r="N11">
        <v>1635</v>
      </c>
    </row>
    <row r="12" spans="1:14" x14ac:dyDescent="0.25">
      <c r="B12" t="s">
        <v>91</v>
      </c>
      <c r="C12">
        <v>-1075</v>
      </c>
      <c r="D12">
        <v>-1912</v>
      </c>
      <c r="E12">
        <v>-2323</v>
      </c>
      <c r="F12">
        <v>-3056</v>
      </c>
      <c r="G12">
        <v>-3144</v>
      </c>
      <c r="H12">
        <v>-1438</v>
      </c>
      <c r="I12">
        <v>-1011</v>
      </c>
      <c r="J12">
        <v>-1178</v>
      </c>
      <c r="K12">
        <v>-2233</v>
      </c>
      <c r="L12">
        <v>-3597</v>
      </c>
      <c r="M12">
        <v>-3807</v>
      </c>
      <c r="N12">
        <v>-4337</v>
      </c>
    </row>
    <row r="13" spans="1:14" x14ac:dyDescent="0.25">
      <c r="B13" t="s">
        <v>108</v>
      </c>
      <c r="C13">
        <v>-4491</v>
      </c>
      <c r="D13">
        <v>-7230</v>
      </c>
      <c r="E13">
        <v>-9173</v>
      </c>
      <c r="F13">
        <v>-8302</v>
      </c>
      <c r="G13">
        <v>-3540</v>
      </c>
      <c r="H13">
        <v>-557</v>
      </c>
      <c r="I13">
        <v>-7291</v>
      </c>
      <c r="J13">
        <v>-239</v>
      </c>
      <c r="K13">
        <v>-8036</v>
      </c>
      <c r="L13">
        <v>-11865</v>
      </c>
      <c r="M13">
        <v>-14456</v>
      </c>
      <c r="N13">
        <v>-14734</v>
      </c>
    </row>
    <row r="14" spans="1:14" x14ac:dyDescent="0.25">
      <c r="B14" t="s">
        <v>92</v>
      </c>
      <c r="C14">
        <v>-3058</v>
      </c>
      <c r="D14">
        <v>-2469</v>
      </c>
      <c r="E14">
        <v>-3391</v>
      </c>
      <c r="F14">
        <v>-3912</v>
      </c>
      <c r="G14">
        <v>-4872</v>
      </c>
      <c r="H14">
        <v>-3437</v>
      </c>
      <c r="I14">
        <v>-2370</v>
      </c>
      <c r="J14">
        <v>-3459</v>
      </c>
      <c r="K14">
        <v>-6347</v>
      </c>
      <c r="L14">
        <v>-9200</v>
      </c>
      <c r="M14">
        <v>-10641</v>
      </c>
      <c r="N14">
        <v>-10398</v>
      </c>
    </row>
    <row r="15" spans="1:14" x14ac:dyDescent="0.25">
      <c r="B15" t="s">
        <v>93</v>
      </c>
      <c r="C15">
        <v>16</v>
      </c>
      <c r="D15">
        <v>12</v>
      </c>
      <c r="E15">
        <v>16</v>
      </c>
      <c r="F15">
        <v>26</v>
      </c>
      <c r="G15">
        <v>170</v>
      </c>
      <c r="H15">
        <v>37</v>
      </c>
      <c r="I15">
        <v>42</v>
      </c>
      <c r="J15">
        <v>136</v>
      </c>
      <c r="K15">
        <v>100</v>
      </c>
      <c r="L15">
        <v>45</v>
      </c>
      <c r="M15">
        <v>38</v>
      </c>
      <c r="N15">
        <v>52</v>
      </c>
    </row>
    <row r="16" spans="1:14" x14ac:dyDescent="0.25">
      <c r="B16" t="s">
        <v>94</v>
      </c>
      <c r="C16">
        <v>-17354</v>
      </c>
      <c r="D16">
        <v>-12044</v>
      </c>
      <c r="E16">
        <v>-17716</v>
      </c>
      <c r="F16">
        <v>-47069</v>
      </c>
      <c r="G16">
        <v>-52957</v>
      </c>
      <c r="H16">
        <v>-44205</v>
      </c>
      <c r="I16">
        <v>-44869</v>
      </c>
      <c r="J16">
        <v>-60525</v>
      </c>
      <c r="K16">
        <v>-66597</v>
      </c>
      <c r="L16">
        <v>-65736</v>
      </c>
      <c r="M16">
        <v>-73882</v>
      </c>
      <c r="N16">
        <v>-108034</v>
      </c>
    </row>
    <row r="17" spans="2:14" x14ac:dyDescent="0.25">
      <c r="B17" t="s">
        <v>95</v>
      </c>
      <c r="C17">
        <v>15270</v>
      </c>
      <c r="D17">
        <v>7378</v>
      </c>
      <c r="E17">
        <v>11839</v>
      </c>
      <c r="F17">
        <v>42564</v>
      </c>
      <c r="G17">
        <v>53986</v>
      </c>
      <c r="H17">
        <v>46969</v>
      </c>
      <c r="I17">
        <v>42920</v>
      </c>
      <c r="J17">
        <v>63579</v>
      </c>
      <c r="K17">
        <v>61605</v>
      </c>
      <c r="L17">
        <v>61933</v>
      </c>
      <c r="M17">
        <v>69795</v>
      </c>
      <c r="N17">
        <v>101969</v>
      </c>
    </row>
    <row r="18" spans="2:14" x14ac:dyDescent="0.25">
      <c r="B18" t="s">
        <v>96</v>
      </c>
      <c r="C18">
        <v>152</v>
      </c>
      <c r="D18">
        <v>67</v>
      </c>
      <c r="E18">
        <v>36</v>
      </c>
      <c r="F18">
        <v>68</v>
      </c>
      <c r="G18">
        <v>124</v>
      </c>
      <c r="H18">
        <v>96</v>
      </c>
      <c r="I18">
        <v>67</v>
      </c>
      <c r="J18">
        <v>174</v>
      </c>
      <c r="K18">
        <v>194</v>
      </c>
      <c r="L18">
        <v>372</v>
      </c>
      <c r="M18">
        <v>444</v>
      </c>
      <c r="N18">
        <v>354</v>
      </c>
    </row>
    <row r="19" spans="2:14" x14ac:dyDescent="0.25">
      <c r="B19" t="s">
        <v>97</v>
      </c>
      <c r="C19">
        <v>54</v>
      </c>
      <c r="D19">
        <v>11</v>
      </c>
      <c r="E19">
        <v>13</v>
      </c>
      <c r="F19">
        <v>20</v>
      </c>
      <c r="G19">
        <v>9</v>
      </c>
      <c r="H19">
        <v>4</v>
      </c>
      <c r="I19">
        <v>3</v>
      </c>
      <c r="J19">
        <v>3</v>
      </c>
      <c r="K19">
        <v>6</v>
      </c>
      <c r="L19">
        <v>6</v>
      </c>
      <c r="M19">
        <v>9</v>
      </c>
      <c r="N19">
        <v>11</v>
      </c>
    </row>
    <row r="20" spans="2:14" x14ac:dyDescent="0.25">
      <c r="B20" t="s">
        <v>98</v>
      </c>
      <c r="C20">
        <v>0</v>
      </c>
      <c r="D20">
        <v>0</v>
      </c>
      <c r="E20">
        <v>22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25">
      <c r="B21" t="s">
        <v>99</v>
      </c>
      <c r="C21">
        <v>0</v>
      </c>
      <c r="D21">
        <v>0</v>
      </c>
      <c r="E21">
        <v>0</v>
      </c>
      <c r="F21">
        <v>0</v>
      </c>
      <c r="G21">
        <v>0</v>
      </c>
      <c r="H21">
        <v>-15</v>
      </c>
      <c r="I21">
        <v>-65</v>
      </c>
      <c r="J21">
        <v>-146</v>
      </c>
      <c r="K21">
        <v>0</v>
      </c>
      <c r="L21">
        <v>-80</v>
      </c>
      <c r="M21">
        <v>-18</v>
      </c>
      <c r="N21">
        <v>0</v>
      </c>
    </row>
    <row r="22" spans="2:14" x14ac:dyDescent="0.25">
      <c r="B22" t="s">
        <v>100</v>
      </c>
      <c r="C22">
        <v>428</v>
      </c>
      <c r="D22">
        <v>-186</v>
      </c>
      <c r="E22">
        <v>7</v>
      </c>
      <c r="F22">
        <v>0</v>
      </c>
      <c r="G22">
        <v>0</v>
      </c>
      <c r="H22">
        <v>-5</v>
      </c>
      <c r="I22">
        <v>-3019</v>
      </c>
      <c r="J22">
        <v>-1</v>
      </c>
      <c r="K22">
        <v>3003</v>
      </c>
      <c r="L22">
        <v>795</v>
      </c>
      <c r="M22">
        <v>-201</v>
      </c>
      <c r="N22">
        <v>1311</v>
      </c>
    </row>
    <row r="23" spans="2:14" x14ac:dyDescent="0.25">
      <c r="B23" t="s">
        <v>109</v>
      </c>
      <c r="C23">
        <v>-2004</v>
      </c>
      <c r="D23">
        <v>-1237</v>
      </c>
      <c r="E23">
        <v>-1129</v>
      </c>
      <c r="F23">
        <v>-3436</v>
      </c>
      <c r="G23">
        <v>-2948</v>
      </c>
      <c r="H23">
        <v>-3104</v>
      </c>
      <c r="I23">
        <v>-1545</v>
      </c>
      <c r="J23">
        <v>-1607</v>
      </c>
      <c r="K23">
        <v>-1213</v>
      </c>
      <c r="L23">
        <v>-4062</v>
      </c>
      <c r="M23">
        <v>-4155</v>
      </c>
      <c r="N23">
        <v>-4484</v>
      </c>
    </row>
    <row r="24" spans="2:14" x14ac:dyDescent="0.25">
      <c r="B24" t="s">
        <v>101</v>
      </c>
      <c r="C24">
        <v>92</v>
      </c>
      <c r="D24">
        <v>77</v>
      </c>
      <c r="E24">
        <v>484</v>
      </c>
      <c r="F24">
        <v>10</v>
      </c>
      <c r="G24">
        <v>39</v>
      </c>
      <c r="H24">
        <v>0</v>
      </c>
      <c r="I24">
        <v>380</v>
      </c>
      <c r="J24">
        <v>0</v>
      </c>
      <c r="K24">
        <v>831</v>
      </c>
      <c r="L24">
        <v>0</v>
      </c>
      <c r="M24">
        <v>0</v>
      </c>
      <c r="N24">
        <v>0</v>
      </c>
    </row>
    <row r="25" spans="2:14" x14ac:dyDescent="0.25">
      <c r="B25" t="s">
        <v>102</v>
      </c>
      <c r="C25">
        <v>-1449</v>
      </c>
      <c r="D25">
        <v>-313</v>
      </c>
      <c r="E25">
        <v>-231</v>
      </c>
      <c r="F25">
        <v>-373</v>
      </c>
      <c r="G25">
        <v>0</v>
      </c>
      <c r="H25">
        <v>-46</v>
      </c>
      <c r="I25">
        <v>0</v>
      </c>
      <c r="J25">
        <v>-110</v>
      </c>
      <c r="K25">
        <v>0</v>
      </c>
      <c r="L25">
        <v>-1183</v>
      </c>
      <c r="M25">
        <v>-33</v>
      </c>
      <c r="N25">
        <v>0</v>
      </c>
    </row>
    <row r="26" spans="2:14" x14ac:dyDescent="0.25">
      <c r="B26" t="s">
        <v>103</v>
      </c>
      <c r="C26">
        <v>-222</v>
      </c>
      <c r="D26">
        <v>-92</v>
      </c>
      <c r="E26">
        <v>-110</v>
      </c>
      <c r="F26">
        <v>-346</v>
      </c>
      <c r="G26">
        <v>-73</v>
      </c>
      <c r="H26">
        <v>-136</v>
      </c>
      <c r="I26">
        <v>-102</v>
      </c>
      <c r="J26">
        <v>-130</v>
      </c>
      <c r="K26">
        <v>-186</v>
      </c>
      <c r="L26">
        <v>-147</v>
      </c>
      <c r="M26">
        <v>-167</v>
      </c>
      <c r="N26">
        <v>-204</v>
      </c>
    </row>
    <row r="27" spans="2:14" x14ac:dyDescent="0.25">
      <c r="B27" t="s">
        <v>104</v>
      </c>
      <c r="C27">
        <v>-362</v>
      </c>
      <c r="D27">
        <v>-755</v>
      </c>
      <c r="E27">
        <v>-1057</v>
      </c>
      <c r="F27">
        <v>-2266</v>
      </c>
      <c r="G27">
        <v>-2417</v>
      </c>
      <c r="H27">
        <v>-2417</v>
      </c>
      <c r="I27">
        <v>-1812</v>
      </c>
      <c r="J27">
        <v>-1359</v>
      </c>
      <c r="K27">
        <v>-1812</v>
      </c>
      <c r="L27">
        <v>-2719</v>
      </c>
      <c r="M27">
        <v>-3930</v>
      </c>
      <c r="N27">
        <v>-4244</v>
      </c>
    </row>
    <row r="28" spans="2:14" x14ac:dyDescent="0.25">
      <c r="B28" t="s">
        <v>105</v>
      </c>
      <c r="C28">
        <v>0</v>
      </c>
      <c r="D28">
        <v>0</v>
      </c>
      <c r="E28">
        <v>0</v>
      </c>
      <c r="F28">
        <v>0</v>
      </c>
      <c r="G28">
        <v>0</v>
      </c>
      <c r="H28">
        <v>-10</v>
      </c>
      <c r="I28">
        <v>-11</v>
      </c>
      <c r="J28">
        <v>-8</v>
      </c>
      <c r="K28">
        <v>-46</v>
      </c>
      <c r="L28">
        <v>-13</v>
      </c>
      <c r="M28">
        <v>-25</v>
      </c>
      <c r="N28">
        <v>-36</v>
      </c>
    </row>
    <row r="29" spans="2:14" x14ac:dyDescent="0.25">
      <c r="B29" t="s">
        <v>106</v>
      </c>
      <c r="C29">
        <v>-62</v>
      </c>
      <c r="D29">
        <v>-154</v>
      </c>
      <c r="E29">
        <v>-215</v>
      </c>
      <c r="F29">
        <v>-461</v>
      </c>
      <c r="G29">
        <v>-497</v>
      </c>
      <c r="H29">
        <v>-497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2:14" x14ac:dyDescent="0.25">
      <c r="B30" t="s">
        <v>50</v>
      </c>
      <c r="C30">
        <v>-45</v>
      </c>
      <c r="D30">
        <v>16</v>
      </c>
      <c r="E30">
        <v>-20</v>
      </c>
      <c r="F30">
        <v>50</v>
      </c>
      <c r="G30">
        <v>113</v>
      </c>
      <c r="H30">
        <v>-165</v>
      </c>
      <c r="I30">
        <v>20</v>
      </c>
      <c r="J30">
        <v>-6</v>
      </c>
      <c r="K30">
        <v>2</v>
      </c>
      <c r="L30">
        <v>874</v>
      </c>
      <c r="M30">
        <v>-2475</v>
      </c>
      <c r="N30">
        <v>-118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Financials&gt;</vt:lpstr>
      <vt:lpstr>Historical FS</vt:lpstr>
      <vt:lpstr>Ratio Analysis</vt:lpstr>
      <vt:lpstr>Forecast</vt:lpstr>
      <vt:lpstr>Data&gt;</vt:lpstr>
      <vt:lpstr>Data Sheet</vt:lpstr>
      <vt:lpstr>Cash Flow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2026-06-18T09:06:21Z</dcterms:created>
  <dcterms:modified xsi:type="dcterms:W3CDTF">2026-06-20T10:07:06Z</dcterms:modified>
</cp:coreProperties>
</file>
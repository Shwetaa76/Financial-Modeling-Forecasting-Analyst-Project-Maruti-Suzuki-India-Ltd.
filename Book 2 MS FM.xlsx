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1158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D18" i="1"/>
  <c r="E19" i="1" s="1"/>
  <c r="D19" i="1"/>
  <c r="D20" i="1"/>
  <c r="D16" i="1"/>
  <c r="E16" i="1" s="1"/>
  <c r="E18" i="1"/>
  <c r="E20" i="1"/>
  <c r="B20" i="1"/>
  <c r="C20" i="1"/>
  <c r="E17" i="1" l="1"/>
  <c r="E6" i="1" l="1"/>
  <c r="E7" i="1"/>
  <c r="E8" i="1"/>
  <c r="E9" i="1"/>
  <c r="E10" i="1"/>
  <c r="E11" i="1"/>
  <c r="E12" i="1"/>
  <c r="E13" i="1"/>
  <c r="E14" i="1"/>
  <c r="E15" i="1"/>
  <c r="E5" i="1"/>
  <c r="L27" i="1" l="1"/>
  <c r="L2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L25" i="1" l="1"/>
  <c r="B16" i="1"/>
  <c r="B17" i="1" s="1"/>
  <c r="B18" i="1" s="1"/>
  <c r="B19" i="1" s="1"/>
</calcChain>
</file>

<file path=xl/sharedStrings.xml><?xml version="1.0" encoding="utf-8"?>
<sst xmlns="http://schemas.openxmlformats.org/spreadsheetml/2006/main" count="34" uniqueCount="32">
  <si>
    <t>Year Weight</t>
  </si>
  <si>
    <t>Year</t>
  </si>
  <si>
    <t>Sales</t>
  </si>
  <si>
    <t>Sales Growth</t>
  </si>
  <si>
    <t>Arthmatic Mean</t>
  </si>
  <si>
    <t>Growth Mean</t>
  </si>
  <si>
    <t>Standard Deviation</t>
  </si>
  <si>
    <t>MARUTI SUZUKI INDIA LTD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</si>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</sst>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0&quot;A&quot;"/>
    <numFmt numFmtId="165" formatCode="0&quot;E&quot;"/>
  </numFmts>
  <fonts count="5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i/>
      <sz val="12"/>
      <color theme="1"/>
      <name val="Calibri"/>
      <family val="2"/>
    </font>
    <font>
      <sz val="12"/>
      <color theme="8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43" fontId="0" fillId="0" borderId="0" xfId="1" applyFont="1" applyAlignment="1">
      <alignment horizontal="right"/>
    </xf>
    <xf numFmtId="10" fontId="0" fillId="0" borderId="0" xfId="2" applyNumberFormat="1" applyFont="1"/>
    <xf numFmtId="10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NumberFormat="1" applyFill="1" applyBorder="1" applyAlignment="1"/>
    <xf numFmtId="43" fontId="4" fillId="0" borderId="0" xfId="1" applyFont="1" applyAlignment="1">
      <alignment horizontal="right"/>
    </xf>
    <xf numFmtId="0" fontId="2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Regression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olid"/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Sheet1!$C$4:$C$15</c:f>
              <c:numCache>
                <c:formatCode>0"A"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xVal>
          <c:yVal>
            <c:numRef>
              <c:f>Sheet1!$D$4:$D$15</c:f>
              <c:numCache>
                <c:formatCode>_(* #,##0.00_);_(* \(#,##0.00\);_(* "-"??_);_(@_)</c:formatCode>
                <c:ptCount val="12"/>
                <c:pt idx="0">
                  <c:v>50801</c:v>
                </c:pt>
                <c:pt idx="1">
                  <c:v>57589</c:v>
                </c:pt>
                <c:pt idx="2">
                  <c:v>68085</c:v>
                </c:pt>
                <c:pt idx="3">
                  <c:v>79809</c:v>
                </c:pt>
                <c:pt idx="4">
                  <c:v>86068</c:v>
                </c:pt>
                <c:pt idx="5">
                  <c:v>75660</c:v>
                </c:pt>
                <c:pt idx="6">
                  <c:v>70372</c:v>
                </c:pt>
                <c:pt idx="7">
                  <c:v>88330</c:v>
                </c:pt>
                <c:pt idx="8">
                  <c:v>117571</c:v>
                </c:pt>
                <c:pt idx="9">
                  <c:v>141858</c:v>
                </c:pt>
                <c:pt idx="10">
                  <c:v>152913</c:v>
                </c:pt>
                <c:pt idx="11">
                  <c:v>183316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737632"/>
        <c:axId val="1560736000"/>
      </c:scatterChart>
      <c:valAx>
        <c:axId val="156073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36000"/>
        <c:crosses val="autoZero"/>
        <c:crossBetween val="midCat"/>
      </c:valAx>
      <c:valAx>
        <c:axId val="156073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3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66675</xdr:rowOff>
    </xdr:from>
    <xdr:to>
      <xdr:col>13</xdr:col>
      <xdr:colOff>733425</xdr:colOff>
      <xdr:row>12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showGridLines="0" tabSelected="1" workbookViewId="0">
      <selection activeCell="D16" sqref="D16"/>
    </sheetView>
  </sheetViews>
  <sheetFormatPr defaultRowHeight="15.75" x14ac:dyDescent="0.25"/>
  <cols>
    <col min="1" max="1" width="1.75" style="1" customWidth="1"/>
    <col min="2" max="2" width="11.625" customWidth="1"/>
    <col min="3" max="3" width="9.875" bestFit="1" customWidth="1"/>
    <col min="4" max="4" width="13.25" customWidth="1"/>
    <col min="5" max="5" width="12.75" customWidth="1"/>
    <col min="6" max="10" width="9.875" bestFit="1" customWidth="1"/>
    <col min="11" max="11" width="12.75" customWidth="1"/>
    <col min="12" max="12" width="12.875" customWidth="1"/>
    <col min="13" max="13" width="12.5" customWidth="1"/>
    <col min="14" max="14" width="12.25" customWidth="1"/>
    <col min="15" max="15" width="11" customWidth="1"/>
  </cols>
  <sheetData>
    <row r="2" spans="2:14" x14ac:dyDescent="0.25">
      <c r="B2" s="16" t="s">
        <v>7</v>
      </c>
      <c r="C2" s="16"/>
      <c r="D2" s="16"/>
      <c r="E2" s="16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3" t="s">
        <v>0</v>
      </c>
      <c r="C3" s="3" t="s">
        <v>1</v>
      </c>
      <c r="D3" s="3" t="s">
        <v>2</v>
      </c>
      <c r="E3" s="3" t="s">
        <v>3</v>
      </c>
    </row>
    <row r="4" spans="2:14" x14ac:dyDescent="0.25">
      <c r="B4" s="4">
        <v>1</v>
      </c>
      <c r="C4" s="8">
        <v>2015</v>
      </c>
      <c r="D4" s="15">
        <v>50801</v>
      </c>
      <c r="G4" t="s">
        <v>8</v>
      </c>
    </row>
    <row r="5" spans="2:14" ht="16.5" thickBot="1" x14ac:dyDescent="0.3">
      <c r="B5" s="4">
        <f>B4+1</f>
        <v>2</v>
      </c>
      <c r="C5" s="8">
        <f>C4+1</f>
        <v>2016</v>
      </c>
      <c r="D5" s="15">
        <v>57589</v>
      </c>
      <c r="E5" s="6">
        <f>D5/D4-1</f>
        <v>0.1336194169406113</v>
      </c>
    </row>
    <row r="6" spans="2:14" x14ac:dyDescent="0.25">
      <c r="B6" s="4">
        <f t="shared" ref="B6:C13" si="0">B5+1</f>
        <v>3</v>
      </c>
      <c r="C6" s="8">
        <f t="shared" si="0"/>
        <v>2017</v>
      </c>
      <c r="D6" s="15">
        <v>68085</v>
      </c>
      <c r="E6" s="6">
        <f t="shared" ref="E6:E20" si="1">D6/D5-1</f>
        <v>0.18225702825192314</v>
      </c>
      <c r="G6" s="13" t="s">
        <v>9</v>
      </c>
      <c r="H6" s="13"/>
    </row>
    <row r="7" spans="2:14" x14ac:dyDescent="0.25">
      <c r="B7" s="4">
        <f t="shared" si="0"/>
        <v>4</v>
      </c>
      <c r="C7" s="8">
        <f t="shared" si="0"/>
        <v>2018</v>
      </c>
      <c r="D7" s="15">
        <v>79809</v>
      </c>
      <c r="E7" s="6">
        <f t="shared" si="1"/>
        <v>0.17219651905706113</v>
      </c>
      <c r="G7" s="10" t="s">
        <v>10</v>
      </c>
      <c r="H7" s="10">
        <v>0.91235390507363734</v>
      </c>
    </row>
    <row r="8" spans="2:14" x14ac:dyDescent="0.25">
      <c r="B8" s="4">
        <f t="shared" si="0"/>
        <v>5</v>
      </c>
      <c r="C8" s="8">
        <f t="shared" si="0"/>
        <v>2019</v>
      </c>
      <c r="D8" s="15">
        <v>86068</v>
      </c>
      <c r="E8" s="6">
        <f t="shared" si="1"/>
        <v>7.8424739064516524E-2</v>
      </c>
      <c r="G8" s="10" t="s">
        <v>11</v>
      </c>
      <c r="H8" s="10">
        <v>0.83238964810311555</v>
      </c>
    </row>
    <row r="9" spans="2:14" x14ac:dyDescent="0.25">
      <c r="B9" s="4">
        <f t="shared" si="0"/>
        <v>6</v>
      </c>
      <c r="C9" s="8">
        <f t="shared" si="0"/>
        <v>2020</v>
      </c>
      <c r="D9" s="15">
        <v>75660</v>
      </c>
      <c r="E9" s="6">
        <f t="shared" si="1"/>
        <v>-0.1209276386113306</v>
      </c>
      <c r="G9" s="10" t="s">
        <v>12</v>
      </c>
      <c r="H9" s="10">
        <v>0.81562861291342714</v>
      </c>
    </row>
    <row r="10" spans="2:14" x14ac:dyDescent="0.25">
      <c r="B10" s="4">
        <f t="shared" si="0"/>
        <v>7</v>
      </c>
      <c r="C10" s="8">
        <f t="shared" si="0"/>
        <v>2021</v>
      </c>
      <c r="D10" s="15">
        <v>70372</v>
      </c>
      <c r="E10" s="6">
        <f t="shared" si="1"/>
        <v>-6.9891620407084298E-2</v>
      </c>
      <c r="G10" s="10" t="s">
        <v>13</v>
      </c>
      <c r="H10" s="10">
        <v>17931.913713747788</v>
      </c>
    </row>
    <row r="11" spans="2:14" ht="16.5" thickBot="1" x14ac:dyDescent="0.3">
      <c r="B11" s="4">
        <f t="shared" si="0"/>
        <v>8</v>
      </c>
      <c r="C11" s="8">
        <f t="shared" si="0"/>
        <v>2022</v>
      </c>
      <c r="D11" s="15">
        <v>88330</v>
      </c>
      <c r="E11" s="6">
        <f t="shared" si="1"/>
        <v>0.25518672199170123</v>
      </c>
      <c r="G11" s="11" t="s">
        <v>14</v>
      </c>
      <c r="H11" s="11">
        <v>12</v>
      </c>
    </row>
    <row r="12" spans="2:14" x14ac:dyDescent="0.25">
      <c r="B12" s="4">
        <f t="shared" si="0"/>
        <v>9</v>
      </c>
      <c r="C12" s="8">
        <f t="shared" si="0"/>
        <v>2023</v>
      </c>
      <c r="D12" s="15">
        <v>117571</v>
      </c>
      <c r="E12" s="6">
        <f t="shared" si="1"/>
        <v>0.33104268085588129</v>
      </c>
    </row>
    <row r="13" spans="2:14" ht="16.5" thickBot="1" x14ac:dyDescent="0.3">
      <c r="B13" s="4">
        <f t="shared" si="0"/>
        <v>10</v>
      </c>
      <c r="C13" s="8">
        <f t="shared" si="0"/>
        <v>2024</v>
      </c>
      <c r="D13" s="15">
        <v>141858</v>
      </c>
      <c r="E13" s="6">
        <f t="shared" si="1"/>
        <v>0.20657304947648658</v>
      </c>
      <c r="G13" t="s">
        <v>15</v>
      </c>
    </row>
    <row r="14" spans="2:14" x14ac:dyDescent="0.25">
      <c r="B14" s="4">
        <f>B13+1</f>
        <v>11</v>
      </c>
      <c r="C14" s="8">
        <f>C13+1</f>
        <v>2025</v>
      </c>
      <c r="D14" s="15">
        <v>152913</v>
      </c>
      <c r="E14" s="6">
        <f t="shared" si="1"/>
        <v>7.7930042718775017E-2</v>
      </c>
      <c r="G14" s="12"/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</row>
    <row r="15" spans="2:14" x14ac:dyDescent="0.25">
      <c r="B15" s="4">
        <f>B14+1</f>
        <v>12</v>
      </c>
      <c r="C15" s="8">
        <f>C14+1</f>
        <v>2026</v>
      </c>
      <c r="D15" s="15">
        <v>183316</v>
      </c>
      <c r="E15" s="6">
        <f t="shared" si="1"/>
        <v>0.19882547592421829</v>
      </c>
      <c r="G15" s="10" t="s">
        <v>16</v>
      </c>
      <c r="H15" s="10">
        <v>1</v>
      </c>
      <c r="I15" s="10">
        <v>15969051206.293705</v>
      </c>
      <c r="J15" s="10">
        <v>15969051206.293705</v>
      </c>
      <c r="K15" s="10">
        <v>49.662186057291343</v>
      </c>
      <c r="L15" s="14">
        <v>3.5106954370813449E-5</v>
      </c>
    </row>
    <row r="16" spans="2:14" x14ac:dyDescent="0.25">
      <c r="B16" s="4">
        <f t="shared" ref="B16:C19" si="2">B15+1</f>
        <v>13</v>
      </c>
      <c r="C16" s="9">
        <f t="shared" si="2"/>
        <v>2027</v>
      </c>
      <c r="D16" s="5">
        <f>FORECAST(B16,$D$4:$D$15,$B$4:$B$15)</f>
        <v>166386.30303030304</v>
      </c>
      <c r="E16" s="6">
        <f t="shared" si="1"/>
        <v>-9.2352533165119044E-2</v>
      </c>
      <c r="G16" s="10" t="s">
        <v>17</v>
      </c>
      <c r="H16" s="10">
        <v>10</v>
      </c>
      <c r="I16" s="10">
        <v>3215535294.3729601</v>
      </c>
      <c r="J16" s="10">
        <v>321553529.43729603</v>
      </c>
      <c r="K16" s="10"/>
      <c r="L16" s="10"/>
    </row>
    <row r="17" spans="2:15" ht="16.5" thickBot="1" x14ac:dyDescent="0.3">
      <c r="B17" s="4">
        <f t="shared" si="2"/>
        <v>14</v>
      </c>
      <c r="C17" s="9">
        <f t="shared" si="2"/>
        <v>2028</v>
      </c>
      <c r="D17" s="5">
        <f t="shared" ref="D17:D20" si="3">FORECAST(B17,$D$4:$D$15,$B$4:$B$15)</f>
        <v>176953.78554778555</v>
      </c>
      <c r="E17" s="6">
        <f>D17/D16-1</f>
        <v>6.3511733388041725E-2</v>
      </c>
      <c r="G17" s="11" t="s">
        <v>18</v>
      </c>
      <c r="H17" s="11">
        <v>11</v>
      </c>
      <c r="I17" s="11">
        <v>19184586500.666664</v>
      </c>
      <c r="J17" s="11"/>
      <c r="K17" s="11"/>
      <c r="L17" s="11"/>
    </row>
    <row r="18" spans="2:15" ht="16.5" thickBot="1" x14ac:dyDescent="0.3">
      <c r="B18" s="4">
        <f t="shared" si="2"/>
        <v>15</v>
      </c>
      <c r="C18" s="9">
        <f t="shared" si="2"/>
        <v>2029</v>
      </c>
      <c r="D18" s="5">
        <f t="shared" si="3"/>
        <v>187521.26806526809</v>
      </c>
      <c r="E18" s="6">
        <f t="shared" si="1"/>
        <v>5.9718883576123538E-2</v>
      </c>
    </row>
    <row r="19" spans="2:15" x14ac:dyDescent="0.25">
      <c r="B19" s="4">
        <f t="shared" si="2"/>
        <v>16</v>
      </c>
      <c r="C19" s="9">
        <f t="shared" si="2"/>
        <v>2030</v>
      </c>
      <c r="D19" s="5">
        <f t="shared" si="3"/>
        <v>198088.7505827506</v>
      </c>
      <c r="E19" s="6">
        <f t="shared" si="1"/>
        <v>5.6353514598698418E-2</v>
      </c>
      <c r="G19" s="12"/>
      <c r="H19" s="12" t="s">
        <v>25</v>
      </c>
      <c r="I19" s="12" t="s">
        <v>13</v>
      </c>
      <c r="J19" s="12" t="s">
        <v>26</v>
      </c>
      <c r="K19" s="12" t="s">
        <v>27</v>
      </c>
      <c r="L19" s="12" t="s">
        <v>28</v>
      </c>
      <c r="M19" s="12" t="s">
        <v>29</v>
      </c>
      <c r="N19" s="12" t="s">
        <v>30</v>
      </c>
      <c r="O19" s="12" t="s">
        <v>31</v>
      </c>
    </row>
    <row r="20" spans="2:15" x14ac:dyDescent="0.25">
      <c r="B20" s="4">
        <f t="shared" ref="B20" si="4">B19+1</f>
        <v>17</v>
      </c>
      <c r="C20" s="9">
        <f t="shared" ref="C20" si="5">C19+1</f>
        <v>2031</v>
      </c>
      <c r="D20" s="5">
        <f t="shared" si="3"/>
        <v>208656.2331002331</v>
      </c>
      <c r="E20" s="6">
        <f t="shared" si="1"/>
        <v>5.3347211724009469E-2</v>
      </c>
      <c r="G20" s="10" t="s">
        <v>19</v>
      </c>
      <c r="H20" s="10">
        <v>29009.030303030318</v>
      </c>
      <c r="I20" s="10">
        <v>11036.329975689796</v>
      </c>
      <c r="J20" s="10">
        <v>2.6285033491142227</v>
      </c>
      <c r="K20" s="10">
        <v>2.5226868771260156E-2</v>
      </c>
      <c r="L20" s="10">
        <v>4418.5547008551475</v>
      </c>
      <c r="M20" s="10">
        <v>53599.505905205486</v>
      </c>
      <c r="N20" s="10">
        <v>4418.5547008551475</v>
      </c>
      <c r="O20" s="10">
        <v>53599.505905205486</v>
      </c>
    </row>
    <row r="21" spans="2:15" ht="16.5" thickBot="1" x14ac:dyDescent="0.3">
      <c r="G21" s="11" t="s">
        <v>0</v>
      </c>
      <c r="H21" s="11">
        <v>10567.482517482516</v>
      </c>
      <c r="I21" s="11">
        <v>1499.5419567258168</v>
      </c>
      <c r="J21" s="11">
        <v>7.0471402751251757</v>
      </c>
      <c r="K21" s="11">
        <v>3.5106954370813503E-5</v>
      </c>
      <c r="L21" s="11">
        <v>7226.294823518203</v>
      </c>
      <c r="M21" s="11">
        <v>13908.67021144683</v>
      </c>
      <c r="N21" s="11">
        <v>7226.294823518203</v>
      </c>
      <c r="O21" s="11">
        <v>13908.67021144683</v>
      </c>
    </row>
    <row r="24" spans="2:15" x14ac:dyDescent="0.25">
      <c r="J24" t="s">
        <v>4</v>
      </c>
      <c r="L24" s="7">
        <f>AVERAGE(E5:E15)</f>
        <v>0.13138512866025087</v>
      </c>
    </row>
    <row r="25" spans="2:15" x14ac:dyDescent="0.25">
      <c r="J25" t="s">
        <v>5</v>
      </c>
      <c r="L25" s="6">
        <f>_xlfn.RRI(B15,D4,D15)</f>
        <v>0.11286890862707599</v>
      </c>
    </row>
    <row r="27" spans="2:15" x14ac:dyDescent="0.25">
      <c r="J27" t="s">
        <v>6</v>
      </c>
      <c r="L27" s="6">
        <f>_xlfn.STDEV.S(E5:E15)</f>
        <v>0.13397246719259759</v>
      </c>
    </row>
    <row r="28" spans="2:15" x14ac:dyDescent="0.25">
      <c r="B28" s="4">
        <v>13</v>
      </c>
      <c r="C28" s="9">
        <v>2027</v>
      </c>
      <c r="D28" s="5">
        <v>166386.30303030304</v>
      </c>
      <c r="E28" s="6">
        <v>-9.2352533165119044E-2</v>
      </c>
    </row>
    <row r="29" spans="2:15" x14ac:dyDescent="0.25">
      <c r="B29" s="4">
        <v>14</v>
      </c>
      <c r="C29" s="9">
        <v>2028</v>
      </c>
      <c r="D29" s="5">
        <v>176953.78554778558</v>
      </c>
      <c r="E29" s="6">
        <v>6.3511733388041725E-2</v>
      </c>
    </row>
    <row r="30" spans="2:15" x14ac:dyDescent="0.25">
      <c r="B30" s="4">
        <v>15</v>
      </c>
      <c r="C30" s="9">
        <v>2029</v>
      </c>
      <c r="D30" s="5">
        <v>187521.26806526806</v>
      </c>
      <c r="E30" s="6">
        <v>5.9718883576123316E-2</v>
      </c>
    </row>
    <row r="31" spans="2:15" x14ac:dyDescent="0.25">
      <c r="B31" s="4">
        <v>16</v>
      </c>
      <c r="C31" s="9">
        <v>2030</v>
      </c>
      <c r="D31" s="5">
        <v>198088.7505827506</v>
      </c>
      <c r="E31" s="6">
        <v>5.6353514598698418E-2</v>
      </c>
    </row>
    <row r="32" spans="2:15" x14ac:dyDescent="0.25">
      <c r="B32" s="4">
        <v>17</v>
      </c>
      <c r="C32" s="9">
        <v>2031</v>
      </c>
      <c r="D32" s="5">
        <v>208656.23310023308</v>
      </c>
      <c r="E32" s="6">
        <v>5.3347211724009469E-2</v>
      </c>
    </row>
  </sheetData>
  <mergeCells count="1">
    <mergeCell ref="B2:E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2026-06-20T06:01:23Z</dcterms:created>
  <dcterms:modified xsi:type="dcterms:W3CDTF">2026-06-20T09:10:42Z</dcterms:modified>
</cp:coreProperties>
</file>